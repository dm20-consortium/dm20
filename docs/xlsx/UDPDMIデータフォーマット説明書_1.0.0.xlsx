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E:\_DM2.0_4期\_dmi\"/>
    </mc:Choice>
  </mc:AlternateContent>
  <xr:revisionPtr revIDLastSave="0" documentId="13_ncr:1_{D27C1264-923E-4019-A3AA-7B84CFD574A7}" xr6:coauthVersionLast="36" xr6:coauthVersionMax="47" xr10:uidLastSave="{00000000-0000-0000-0000-000000000000}"/>
  <bookViews>
    <workbookView xWindow="0" yWindow="0" windowWidth="48210" windowHeight="11790" xr2:uid="{4C5E23A9-9D89-41EC-851E-3A95FE658D72}"/>
  </bookViews>
  <sheets>
    <sheet name="物標情報" sheetId="1" r:id="rId1"/>
    <sheet name="フリースペース情報" sheetId="2" r:id="rId2"/>
    <sheet name="信号情報" sheetId="3" r:id="rId3"/>
    <sheet name="センサー情報" sheetId="8" r:id="rId4"/>
    <sheet name="送信周期" sheetId="4" r:id="rId5"/>
  </sheets>
  <definedNames>
    <definedName name="_xlnm.Print_Area" localSheetId="0">物標情報!$A$1:$G$102</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1" i="8" l="1"/>
  <c r="G90" i="8"/>
  <c r="G85" i="8"/>
  <c r="G84" i="8"/>
  <c r="G79" i="8"/>
  <c r="G78" i="8"/>
  <c r="G73" i="8"/>
  <c r="G72" i="8"/>
  <c r="G67" i="8"/>
  <c r="G66" i="8"/>
  <c r="G61" i="8"/>
  <c r="G60" i="8"/>
  <c r="G55" i="8"/>
  <c r="G54" i="8"/>
  <c r="G49" i="8"/>
  <c r="G48" i="8"/>
  <c r="A8" i="3"/>
  <c r="A3" i="8"/>
  <c r="A4" i="8" s="1"/>
  <c r="A5" i="8" s="1"/>
  <c r="A6" i="8" s="1"/>
  <c r="A7" i="8" s="1"/>
  <c r="A8" i="8" s="1"/>
  <c r="A3" i="3"/>
  <c r="A4" i="3" s="1"/>
  <c r="A3" i="2"/>
  <c r="A4" i="2" s="1"/>
  <c r="G73" i="3"/>
  <c r="G76" i="3" s="1"/>
  <c r="G107" i="2"/>
  <c r="G110" i="2"/>
  <c r="G104" i="1"/>
  <c r="G106" i="1" s="1"/>
  <c r="G105" i="1"/>
  <c r="A4" i="1"/>
  <c r="A5" i="1" s="1"/>
  <c r="A6" i="1" s="1"/>
  <c r="A7" i="1" s="1"/>
  <c r="A8" i="1" s="1"/>
  <c r="A3" i="1"/>
  <c r="G102" i="1"/>
  <c r="G92" i="8" l="1"/>
  <c r="G93" i="8" s="1"/>
  <c r="A5" i="3"/>
  <c r="A6" i="3" s="1"/>
  <c r="A7" i="3" s="1"/>
  <c r="G75" i="3"/>
  <c r="A5" i="2"/>
  <c r="A6" i="2" s="1"/>
  <c r="A7" i="2" s="1"/>
  <c r="A8" i="2" s="1"/>
  <c r="G109" i="2"/>
  <c r="G107" i="1"/>
  <c r="G111" i="2" l="1"/>
  <c r="G112" i="2" s="1"/>
  <c r="G77" i="3"/>
  <c r="G78" i="3" s="1"/>
  <c r="G105" i="2" l="1"/>
  <c r="G41" i="2"/>
  <c r="G42" i="2"/>
  <c r="G43" i="8" l="1"/>
  <c r="G42" i="8"/>
  <c r="G100" i="1" l="1"/>
  <c r="G71" i="3" l="1"/>
</calcChain>
</file>

<file path=xl/sharedStrings.xml><?xml version="1.0" encoding="utf-8"?>
<sst xmlns="http://schemas.openxmlformats.org/spreadsheetml/2006/main" count="1608" uniqueCount="690">
  <si>
    <t>領域</t>
    <rPh sb="0" eb="2">
      <t>リョウイキ</t>
    </rPh>
    <phoneticPr fontId="1"/>
  </si>
  <si>
    <t>名前</t>
    <rPh sb="0" eb="2">
      <t>ナマエ</t>
    </rPh>
    <phoneticPr fontId="1"/>
  </si>
  <si>
    <t>単位</t>
    <rPh sb="0" eb="2">
      <t>タンイ</t>
    </rPh>
    <phoneticPr fontId="1"/>
  </si>
  <si>
    <t>型</t>
    <rPh sb="0" eb="1">
      <t>カタ</t>
    </rPh>
    <phoneticPr fontId="1"/>
  </si>
  <si>
    <t>bytes</t>
    <phoneticPr fontId="1"/>
  </si>
  <si>
    <t>説明</t>
    <rPh sb="0" eb="2">
      <t>セツメイ</t>
    </rPh>
    <phoneticPr fontId="1"/>
  </si>
  <si>
    <t>ヘッダ</t>
    <phoneticPr fontId="1"/>
  </si>
  <si>
    <t>メジャーバージョン</t>
    <phoneticPr fontId="1"/>
  </si>
  <si>
    <t>ー</t>
    <phoneticPr fontId="1"/>
  </si>
  <si>
    <t>uint8</t>
    <phoneticPr fontId="1"/>
  </si>
  <si>
    <t>CooL4データ連携PF API仕様バージョン番号（メジャー）</t>
    <rPh sb="8" eb="10">
      <t>レンケイ</t>
    </rPh>
    <rPh sb="16" eb="18">
      <t>シヨウ</t>
    </rPh>
    <rPh sb="23" eb="25">
      <t>バンゴウ</t>
    </rPh>
    <phoneticPr fontId="1"/>
  </si>
  <si>
    <t>マイナーバージョン</t>
    <phoneticPr fontId="1"/>
  </si>
  <si>
    <t>CooL4データ連携PF API仕様バージョン番号（マイナー）</t>
    <rPh sb="8" eb="10">
      <t>レンケイ</t>
    </rPh>
    <rPh sb="16" eb="18">
      <t>シヨウ</t>
    </rPh>
    <rPh sb="23" eb="25">
      <t>バンゴウ</t>
    </rPh>
    <phoneticPr fontId="1"/>
  </si>
  <si>
    <t>パッチバージョン</t>
    <phoneticPr fontId="1"/>
  </si>
  <si>
    <t>CooL4データ連携PF API仕様バージョン番号（パッチ）</t>
    <rPh sb="8" eb="10">
      <t>レンケイ</t>
    </rPh>
    <rPh sb="16" eb="18">
      <t>シヨウ</t>
    </rPh>
    <rPh sb="23" eb="25">
      <t>バンゴウ</t>
    </rPh>
    <phoneticPr fontId="1"/>
  </si>
  <si>
    <t>フレームID</t>
    <phoneticPr fontId="1"/>
  </si>
  <si>
    <t>100msごとの送信のたびにインクリメント毎にインクリメントされる値
フレーム：DMが受信したデータのあつまりの単位
Sheet送信周期を参照</t>
    <rPh sb="21" eb="22">
      <t>ゴト</t>
    </rPh>
    <rPh sb="33" eb="34">
      <t>アタイ</t>
    </rPh>
    <rPh sb="43" eb="45">
      <t>ジュシン</t>
    </rPh>
    <rPh sb="56" eb="58">
      <t>タンイ</t>
    </rPh>
    <rPh sb="64" eb="68">
      <t>ソウシンシュウキ</t>
    </rPh>
    <rPh sb="69" eb="71">
      <t>サンショウ</t>
    </rPh>
    <phoneticPr fontId="1"/>
  </si>
  <si>
    <t>分割ID</t>
    <rPh sb="0" eb="2">
      <t>ブンカツ</t>
    </rPh>
    <phoneticPr fontId="1"/>
  </si>
  <si>
    <t>Sheet送信周期を参照</t>
    <rPh sb="5" eb="7">
      <t>ソウシン</t>
    </rPh>
    <rPh sb="7" eb="9">
      <t>シュウキ</t>
    </rPh>
    <rPh sb="10" eb="12">
      <t>サンショウ</t>
    </rPh>
    <phoneticPr fontId="1"/>
  </si>
  <si>
    <t>分割数</t>
    <rPh sb="0" eb="2">
      <t>ブンカツ</t>
    </rPh>
    <rPh sb="2" eb="3">
      <t>スウ</t>
    </rPh>
    <phoneticPr fontId="1"/>
  </si>
  <si>
    <t>メッセージに含まれる物標情報の数</t>
    <rPh sb="6" eb="7">
      <t>フク</t>
    </rPh>
    <rPh sb="10" eb="14">
      <t>ブツヒョウジョウホウ</t>
    </rPh>
    <rPh sb="15" eb="16">
      <t>カズ</t>
    </rPh>
    <phoneticPr fontId="1"/>
  </si>
  <si>
    <t>物標ID</t>
    <rPh sb="0" eb="2">
      <t>ブツヒョウ</t>
    </rPh>
    <phoneticPr fontId="1"/>
  </si>
  <si>
    <t>uint64</t>
    <phoneticPr fontId="1"/>
  </si>
  <si>
    <t>情報取得時刻</t>
    <rPh sb="0" eb="2">
      <t>ジョウホウ</t>
    </rPh>
    <rPh sb="2" eb="4">
      <t>シュトク</t>
    </rPh>
    <rPh sb="4" eb="6">
      <t>ジコク</t>
    </rPh>
    <phoneticPr fontId="1"/>
  </si>
  <si>
    <t>msec</t>
    <phoneticPr fontId="1"/>
  </si>
  <si>
    <t>クラスID１</t>
    <phoneticPr fontId="1"/>
  </si>
  <si>
    <t>クラスの信頼度１</t>
    <rPh sb="4" eb="7">
      <t>シンライド</t>
    </rPh>
    <phoneticPr fontId="1"/>
  </si>
  <si>
    <t>％</t>
    <phoneticPr fontId="1"/>
  </si>
  <si>
    <t>サブクラスID１</t>
    <phoneticPr fontId="1"/>
  </si>
  <si>
    <t>サブクラスの信頼度１</t>
    <rPh sb="6" eb="9">
      <t>シンライド</t>
    </rPh>
    <phoneticPr fontId="1"/>
  </si>
  <si>
    <t>クラスID２</t>
  </si>
  <si>
    <t>クラスの信頼度２</t>
    <rPh sb="4" eb="7">
      <t>シンライド</t>
    </rPh>
    <phoneticPr fontId="1"/>
  </si>
  <si>
    <t>サブクラスID２</t>
  </si>
  <si>
    <t>サブクラスの信頼度２</t>
    <rPh sb="6" eb="9">
      <t>シンライド</t>
    </rPh>
    <phoneticPr fontId="1"/>
  </si>
  <si>
    <t>クラスID３</t>
  </si>
  <si>
    <t>クラスの信頼度３</t>
    <rPh sb="4" eb="7">
      <t>シンライド</t>
    </rPh>
    <phoneticPr fontId="1"/>
  </si>
  <si>
    <t>サブクラスID３</t>
  </si>
  <si>
    <t>サブクラスの信頼度３</t>
    <rPh sb="6" eb="9">
      <t>シンライド</t>
    </rPh>
    <phoneticPr fontId="1"/>
  </si>
  <si>
    <t>クラスID４</t>
  </si>
  <si>
    <t>クラスの信頼度４</t>
    <rPh sb="4" eb="7">
      <t>シンライド</t>
    </rPh>
    <phoneticPr fontId="1"/>
  </si>
  <si>
    <t>サブクラスID４</t>
  </si>
  <si>
    <t>サブクラスの信頼度４</t>
    <rPh sb="6" eb="9">
      <t>シンライド</t>
    </rPh>
    <phoneticPr fontId="1"/>
  </si>
  <si>
    <t>存在信頼度</t>
    <rPh sb="0" eb="5">
      <t>ソンザイシンライド</t>
    </rPh>
    <phoneticPr fontId="1"/>
  </si>
  <si>
    <t>uint32</t>
    <phoneticPr fontId="1"/>
  </si>
  <si>
    <t>緯度</t>
    <rPh sb="0" eb="2">
      <t>イド</t>
    </rPh>
    <phoneticPr fontId="1"/>
  </si>
  <si>
    <t>0.1 micro deg</t>
    <phoneticPr fontId="1"/>
  </si>
  <si>
    <t>int32</t>
    <phoneticPr fontId="1"/>
  </si>
  <si>
    <t>経度</t>
    <rPh sb="0" eb="2">
      <t>ケイド</t>
    </rPh>
    <phoneticPr fontId="1"/>
  </si>
  <si>
    <t>標高</t>
    <rPh sb="0" eb="2">
      <t>ヒョウコウ</t>
    </rPh>
    <phoneticPr fontId="1"/>
  </si>
  <si>
    <t>0.01 m</t>
    <phoneticPr fontId="1"/>
  </si>
  <si>
    <t>CRP ID</t>
    <phoneticPr fontId="1"/>
  </si>
  <si>
    <t>CRP基準X座標</t>
    <rPh sb="3" eb="5">
      <t>キジュン</t>
    </rPh>
    <rPh sb="6" eb="8">
      <t>ザヒョウ</t>
    </rPh>
    <phoneticPr fontId="1"/>
  </si>
  <si>
    <t>CRP基準Y座標</t>
    <rPh sb="3" eb="5">
      <t>キジュン</t>
    </rPh>
    <rPh sb="6" eb="8">
      <t>ザヒョウ</t>
    </rPh>
    <phoneticPr fontId="1"/>
  </si>
  <si>
    <t>CRP基準Z座標</t>
    <rPh sb="3" eb="5">
      <t>キジュン</t>
    </rPh>
    <rPh sb="6" eb="8">
      <t>ザヒョウ</t>
    </rPh>
    <phoneticPr fontId="1"/>
  </si>
  <si>
    <t>レーン数</t>
    <rPh sb="3" eb="4">
      <t>スウ</t>
    </rPh>
    <phoneticPr fontId="1"/>
  </si>
  <si>
    <t>レーン番号</t>
    <rPh sb="3" eb="5">
      <t>バンゴウ</t>
    </rPh>
    <phoneticPr fontId="1"/>
  </si>
  <si>
    <t>int8</t>
    <phoneticPr fontId="1"/>
  </si>
  <si>
    <t>レーン内横方向位置</t>
    <rPh sb="3" eb="4">
      <t>ナイ</t>
    </rPh>
    <rPh sb="4" eb="7">
      <t>ヨコホウコウ</t>
    </rPh>
    <rPh sb="7" eb="9">
      <t>イチ</t>
    </rPh>
    <phoneticPr fontId="1"/>
  </si>
  <si>
    <t>始点CRP ID</t>
    <rPh sb="0" eb="2">
      <t>シテン</t>
    </rPh>
    <phoneticPr fontId="1"/>
  </si>
  <si>
    <t>終点CRP ID</t>
    <rPh sb="0" eb="2">
      <t>シュウテン</t>
    </rPh>
    <phoneticPr fontId="1"/>
  </si>
  <si>
    <t>道のり距離の比率</t>
    <rPh sb="0" eb="1">
      <t>ミチ</t>
    </rPh>
    <rPh sb="3" eb="5">
      <t>キョリ</t>
    </rPh>
    <rPh sb="6" eb="8">
      <t>ヒリツ</t>
    </rPh>
    <phoneticPr fontId="1"/>
  </si>
  <si>
    <t>uint16</t>
    <phoneticPr fontId="1"/>
  </si>
  <si>
    <t>レーンID</t>
    <phoneticPr fontId="1"/>
  </si>
  <si>
    <t>dx レーン</t>
    <phoneticPr fontId="1"/>
  </si>
  <si>
    <t>dy レーン</t>
    <phoneticPr fontId="1"/>
  </si>
  <si>
    <t>dz レーン</t>
    <phoneticPr fontId="1"/>
  </si>
  <si>
    <t>水平方向位置精度楕円長半径</t>
    <rPh sb="0" eb="4">
      <t>スイヘイホウコウ</t>
    </rPh>
    <rPh sb="4" eb="8">
      <t>イチセイド</t>
    </rPh>
    <rPh sb="8" eb="10">
      <t>ダエン</t>
    </rPh>
    <rPh sb="10" eb="11">
      <t>チョウ</t>
    </rPh>
    <rPh sb="11" eb="13">
      <t>ハンケイ</t>
    </rPh>
    <phoneticPr fontId="1"/>
  </si>
  <si>
    <t>水平方向位置精度楕円短半径</t>
    <rPh sb="0" eb="4">
      <t>スイヘイホウコウ</t>
    </rPh>
    <rPh sb="4" eb="8">
      <t>イチセイド</t>
    </rPh>
    <rPh sb="8" eb="10">
      <t>ダエン</t>
    </rPh>
    <rPh sb="10" eb="11">
      <t>タン</t>
    </rPh>
    <rPh sb="11" eb="13">
      <t>ハンケイ</t>
    </rPh>
    <phoneticPr fontId="1"/>
  </si>
  <si>
    <t>水平方向位置精度楕円回転角</t>
    <rPh sb="0" eb="2">
      <t>スイヘイ</t>
    </rPh>
    <rPh sb="2" eb="4">
      <t>ホウコウ</t>
    </rPh>
    <rPh sb="4" eb="8">
      <t>イチセイド</t>
    </rPh>
    <rPh sb="8" eb="10">
      <t>ダエン</t>
    </rPh>
    <rPh sb="10" eb="13">
      <t>カイテンカク</t>
    </rPh>
    <phoneticPr fontId="1"/>
  </si>
  <si>
    <t>0.01 deg</t>
    <phoneticPr fontId="1"/>
  </si>
  <si>
    <t>高さ方向位置精度</t>
    <rPh sb="0" eb="1">
      <t>タカ</t>
    </rPh>
    <rPh sb="2" eb="4">
      <t>ホウコウ</t>
    </rPh>
    <rPh sb="4" eb="8">
      <t>イチセイド</t>
    </rPh>
    <phoneticPr fontId="1"/>
  </si>
  <si>
    <t>物標参照位置</t>
    <rPh sb="0" eb="2">
      <t>ブツヒョウ</t>
    </rPh>
    <rPh sb="2" eb="4">
      <t>サンショウ</t>
    </rPh>
    <rPh sb="4" eb="6">
      <t>イチ</t>
    </rPh>
    <phoneticPr fontId="1"/>
  </si>
  <si>
    <t>移動方向</t>
    <rPh sb="0" eb="4">
      <t>イドウホウコウ</t>
    </rPh>
    <phoneticPr fontId="1"/>
  </si>
  <si>
    <t>移動方向精度</t>
    <rPh sb="0" eb="6">
      <t>イドウホウコウセイド</t>
    </rPh>
    <phoneticPr fontId="1"/>
  </si>
  <si>
    <t>速さ</t>
    <rPh sb="0" eb="1">
      <t>ハヤ</t>
    </rPh>
    <phoneticPr fontId="1"/>
  </si>
  <si>
    <t>0.01 m/s</t>
    <phoneticPr fontId="1"/>
  </si>
  <si>
    <t>int16</t>
    <phoneticPr fontId="1"/>
  </si>
  <si>
    <t>速さ精度</t>
    <rPh sb="0" eb="1">
      <t>ハヤ</t>
    </rPh>
    <rPh sb="2" eb="4">
      <t>セイド</t>
    </rPh>
    <phoneticPr fontId="1"/>
  </si>
  <si>
    <t>回転速度</t>
    <rPh sb="0" eb="4">
      <t>カイテンソクド</t>
    </rPh>
    <phoneticPr fontId="1"/>
  </si>
  <si>
    <t>0.01 deg/s</t>
    <phoneticPr fontId="1"/>
  </si>
  <si>
    <t>回転速度精度</t>
    <rPh sb="0" eb="4">
      <t>カイテンソクド</t>
    </rPh>
    <rPh sb="4" eb="6">
      <t>セイド</t>
    </rPh>
    <phoneticPr fontId="1"/>
  </si>
  <si>
    <t>前後加速度</t>
    <rPh sb="0" eb="2">
      <t>ゼンゴ</t>
    </rPh>
    <rPh sb="2" eb="5">
      <t>カソクド</t>
    </rPh>
    <phoneticPr fontId="1"/>
  </si>
  <si>
    <t>0.01 m/s2</t>
    <phoneticPr fontId="1"/>
  </si>
  <si>
    <t>前後加速度精度</t>
    <rPh sb="0" eb="2">
      <t>ゼンゴ</t>
    </rPh>
    <rPh sb="2" eb="5">
      <t>カソクド</t>
    </rPh>
    <rPh sb="5" eb="7">
      <t>セイド</t>
    </rPh>
    <phoneticPr fontId="1"/>
  </si>
  <si>
    <t>向き</t>
    <rPh sb="0" eb="1">
      <t>ム</t>
    </rPh>
    <phoneticPr fontId="1"/>
  </si>
  <si>
    <t>向き精度</t>
    <rPh sb="0" eb="1">
      <t>ム</t>
    </rPh>
    <rPh sb="2" eb="4">
      <t>セイド</t>
    </rPh>
    <phoneticPr fontId="1"/>
  </si>
  <si>
    <t>長さ</t>
    <rPh sb="0" eb="1">
      <t>ナガ</t>
    </rPh>
    <phoneticPr fontId="1"/>
  </si>
  <si>
    <t>長さ精度</t>
    <rPh sb="0" eb="1">
      <t>ナガ</t>
    </rPh>
    <rPh sb="2" eb="4">
      <t>セイド</t>
    </rPh>
    <phoneticPr fontId="1"/>
  </si>
  <si>
    <t>幅</t>
    <rPh sb="0" eb="1">
      <t>ハバ</t>
    </rPh>
    <phoneticPr fontId="1"/>
  </si>
  <si>
    <t>幅精度</t>
    <rPh sb="0" eb="1">
      <t>ハバ</t>
    </rPh>
    <rPh sb="1" eb="3">
      <t>セイド</t>
    </rPh>
    <phoneticPr fontId="1"/>
  </si>
  <si>
    <t>高さ</t>
    <rPh sb="0" eb="1">
      <t>タカ</t>
    </rPh>
    <phoneticPr fontId="1"/>
  </si>
  <si>
    <t>高さ精度</t>
    <rPh sb="0" eb="1">
      <t>タカ</t>
    </rPh>
    <rPh sb="2" eb="4">
      <t>セイド</t>
    </rPh>
    <phoneticPr fontId="1"/>
  </si>
  <si>
    <t>シフトポジション</t>
    <phoneticPr fontId="1"/>
  </si>
  <si>
    <t>前輪舵角</t>
    <rPh sb="0" eb="2">
      <t>ゼンリン</t>
    </rPh>
    <rPh sb="2" eb="4">
      <t>ダカク</t>
    </rPh>
    <phoneticPr fontId="1"/>
  </si>
  <si>
    <t>deg</t>
    <phoneticPr fontId="1"/>
  </si>
  <si>
    <t>後輪舵角</t>
    <rPh sb="0" eb="2">
      <t>コウリン</t>
    </rPh>
    <rPh sb="2" eb="4">
      <t>ダカク</t>
    </rPh>
    <phoneticPr fontId="1"/>
  </si>
  <si>
    <t>ブレーキ状態</t>
    <rPh sb="4" eb="6">
      <t>ジョウタイ</t>
    </rPh>
    <phoneticPr fontId="1"/>
  </si>
  <si>
    <t>補助ブレーキ状態</t>
    <rPh sb="0" eb="2">
      <t>ホジョ</t>
    </rPh>
    <rPh sb="6" eb="8">
      <t>ジョウタイ</t>
    </rPh>
    <phoneticPr fontId="1"/>
  </si>
  <si>
    <t>アクセルペダル開度</t>
    <rPh sb="7" eb="9">
      <t>カイド</t>
    </rPh>
    <phoneticPr fontId="1"/>
  </si>
  <si>
    <t>灯火の状態</t>
    <rPh sb="0" eb="2">
      <t>トウカ</t>
    </rPh>
    <rPh sb="3" eb="5">
      <t>ジョウタイ</t>
    </rPh>
    <phoneticPr fontId="1"/>
  </si>
  <si>
    <t>ACC作動状態</t>
    <rPh sb="3" eb="5">
      <t>サドウ</t>
    </rPh>
    <rPh sb="5" eb="7">
      <t>ジョウタイ</t>
    </rPh>
    <phoneticPr fontId="1"/>
  </si>
  <si>
    <t>C-ACC作動状態</t>
    <rPh sb="5" eb="9">
      <t>サドウジョウタイ</t>
    </rPh>
    <phoneticPr fontId="1"/>
  </si>
  <si>
    <t>PCS作動状態</t>
    <rPh sb="3" eb="7">
      <t>サドウジョウタイ</t>
    </rPh>
    <phoneticPr fontId="1"/>
  </si>
  <si>
    <t>ABS作動状態</t>
    <rPh sb="3" eb="7">
      <t>サドウジョウタイ</t>
    </rPh>
    <phoneticPr fontId="1"/>
  </si>
  <si>
    <t>TRC作動状態</t>
    <rPh sb="3" eb="7">
      <t>サドウジョウタイ</t>
    </rPh>
    <phoneticPr fontId="1"/>
  </si>
  <si>
    <t>ESC作動状態</t>
    <rPh sb="3" eb="7">
      <t>サドウジョウタイ</t>
    </rPh>
    <phoneticPr fontId="1"/>
  </si>
  <si>
    <t>LKA作動状態</t>
    <rPh sb="3" eb="7">
      <t>サドウジョウタイ</t>
    </rPh>
    <phoneticPr fontId="1"/>
  </si>
  <si>
    <t>LDW作動状態</t>
    <rPh sb="3" eb="7">
      <t>サドウジョウタイ</t>
    </rPh>
    <phoneticPr fontId="1"/>
  </si>
  <si>
    <t>車両用途種別</t>
    <rPh sb="0" eb="2">
      <t>シャリョウ</t>
    </rPh>
    <rPh sb="2" eb="4">
      <t>ヨウト</t>
    </rPh>
    <rPh sb="4" eb="6">
      <t>シュベツ</t>
    </rPh>
    <phoneticPr fontId="1"/>
  </si>
  <si>
    <t>車両種別毎の状態</t>
    <rPh sb="0" eb="4">
      <t>シャリョウシュベツ</t>
    </rPh>
    <rPh sb="4" eb="5">
      <t>マイ</t>
    </rPh>
    <rPh sb="6" eb="8">
      <t>ジョウタイ</t>
    </rPh>
    <phoneticPr fontId="1"/>
  </si>
  <si>
    <t>情報源１</t>
    <rPh sb="0" eb="3">
      <t>ジョウホウゲン</t>
    </rPh>
    <phoneticPr fontId="1"/>
  </si>
  <si>
    <t>情報源２</t>
    <rPh sb="0" eb="3">
      <t>ジョウホウゲン</t>
    </rPh>
    <phoneticPr fontId="1"/>
  </si>
  <si>
    <t>情報源３</t>
    <rPh sb="0" eb="3">
      <t>ジョウホウゲン</t>
    </rPh>
    <phoneticPr fontId="1"/>
  </si>
  <si>
    <t>情報源４</t>
    <rPh sb="0" eb="3">
      <t>ジョウホウゲン</t>
    </rPh>
    <phoneticPr fontId="1"/>
  </si>
  <si>
    <t>物標情報２</t>
    <rPh sb="0" eb="4">
      <t>ブツヒョウジョウホウ</t>
    </rPh>
    <phoneticPr fontId="1"/>
  </si>
  <si>
    <t>...</t>
    <phoneticPr fontId="1"/>
  </si>
  <si>
    <t>物標情報N</t>
    <rPh sb="0" eb="4">
      <t>ブツヒョウジョウホウ</t>
    </rPh>
    <phoneticPr fontId="1"/>
  </si>
  <si>
    <t>メッセージに含まれるフリースペース情報の数</t>
    <rPh sb="6" eb="7">
      <t>フク</t>
    </rPh>
    <rPh sb="17" eb="19">
      <t>ジョウホウ</t>
    </rPh>
    <rPh sb="20" eb="21">
      <t>カズ</t>
    </rPh>
    <phoneticPr fontId="1"/>
  </si>
  <si>
    <t>フリースペース情報1</t>
    <rPh sb="7" eb="9">
      <t>ジョウホウ</t>
    </rPh>
    <phoneticPr fontId="1"/>
  </si>
  <si>
    <t>フリースペースID</t>
    <phoneticPr fontId="1"/>
  </si>
  <si>
    <t>検知漏れ物標サイズ</t>
    <rPh sb="0" eb="3">
      <t>ケンチモ</t>
    </rPh>
    <rPh sb="4" eb="6">
      <t>ブツヒョウ</t>
    </rPh>
    <phoneticPr fontId="1"/>
  </si>
  <si>
    <t>0.01m</t>
    <phoneticPr fontId="1"/>
  </si>
  <si>
    <t xml:space="preserve">uint16 </t>
    <phoneticPr fontId="1"/>
  </si>
  <si>
    <t>始点物標ID</t>
    <rPh sb="0" eb="4">
      <t>シテンブツヒョウ</t>
    </rPh>
    <phoneticPr fontId="1"/>
  </si>
  <si>
    <t>終点物標ID</t>
    <rPh sb="0" eb="2">
      <t>シュウテン</t>
    </rPh>
    <rPh sb="2" eb="4">
      <t>ブツヒョウ</t>
    </rPh>
    <phoneticPr fontId="1"/>
  </si>
  <si>
    <t>フリースペース情報N</t>
    <rPh sb="7" eb="9">
      <t>ジョウホウ</t>
    </rPh>
    <phoneticPr fontId="1"/>
  </si>
  <si>
    <r>
      <t>このメッセージに含まれるデータ数 N （1≦N≦</t>
    </r>
    <r>
      <rPr>
        <sz val="9"/>
        <rFont val="Meiryo UI"/>
        <family val="3"/>
        <charset val="128"/>
      </rPr>
      <t>14</t>
    </r>
    <r>
      <rPr>
        <sz val="9"/>
        <color theme="1"/>
        <rFont val="Meiryo UI"/>
        <family val="2"/>
        <charset val="128"/>
      </rPr>
      <t>)</t>
    </r>
    <rPh sb="8" eb="9">
      <t>フク</t>
    </rPh>
    <rPh sb="15" eb="16">
      <t>スウ</t>
    </rPh>
    <phoneticPr fontId="1"/>
  </si>
  <si>
    <t>メッセージに含まれる信号情報の数</t>
    <rPh sb="6" eb="7">
      <t>フク</t>
    </rPh>
    <rPh sb="10" eb="12">
      <t>シンゴウ</t>
    </rPh>
    <rPh sb="12" eb="14">
      <t>ジョウホウ</t>
    </rPh>
    <rPh sb="15" eb="16">
      <t>カズ</t>
    </rPh>
    <phoneticPr fontId="1"/>
  </si>
  <si>
    <t>信号情報1</t>
    <rPh sb="0" eb="4">
      <t>シンゴウジョウホウ</t>
    </rPh>
    <phoneticPr fontId="1"/>
  </si>
  <si>
    <t>交差点ID</t>
    <rPh sb="0" eb="3">
      <t>コウサテン</t>
    </rPh>
    <phoneticPr fontId="1"/>
  </si>
  <si>
    <t>信号灯器ID1</t>
    <rPh sb="0" eb="4">
      <t>シンゴウトウキ</t>
    </rPh>
    <phoneticPr fontId="1"/>
  </si>
  <si>
    <t>信号灯器ID2</t>
    <rPh sb="0" eb="4">
      <t>シンゴウトウキ</t>
    </rPh>
    <phoneticPr fontId="1"/>
  </si>
  <si>
    <t>信号灯器ID3</t>
    <rPh sb="0" eb="4">
      <t>シンゴウトウキ</t>
    </rPh>
    <phoneticPr fontId="1"/>
  </si>
  <si>
    <t>信号灯器ID4</t>
    <rPh sb="0" eb="4">
      <t>シンゴウトウキ</t>
    </rPh>
    <phoneticPr fontId="1"/>
  </si>
  <si>
    <t>信号灯器ID5</t>
    <rPh sb="0" eb="4">
      <t>シンゴウトウキ</t>
    </rPh>
    <phoneticPr fontId="1"/>
  </si>
  <si>
    <t>信号灯器ID6</t>
    <rPh sb="0" eb="4">
      <t>シンゴウトウキ</t>
    </rPh>
    <phoneticPr fontId="1"/>
  </si>
  <si>
    <t>信号灯器ID7</t>
    <rPh sb="0" eb="4">
      <t>シンゴウトウキ</t>
    </rPh>
    <phoneticPr fontId="1"/>
  </si>
  <si>
    <t>信号灯器ID8</t>
    <rPh sb="0" eb="4">
      <t>シンゴウトウキ</t>
    </rPh>
    <phoneticPr fontId="1"/>
  </si>
  <si>
    <t>情報取得時刻</t>
    <rPh sb="0" eb="4">
      <t>ジョウホウシュトク</t>
    </rPh>
    <rPh sb="4" eb="6">
      <t>ジコク</t>
    </rPh>
    <phoneticPr fontId="1"/>
  </si>
  <si>
    <t>信号状態情報</t>
    <rPh sb="0" eb="4">
      <t>シンゴウジョウタイ</t>
    </rPh>
    <rPh sb="4" eb="6">
      <t>ジョウホウ</t>
    </rPh>
    <phoneticPr fontId="1"/>
  </si>
  <si>
    <t>特定制御動作中フラグ</t>
    <rPh sb="0" eb="2">
      <t>トクテイ</t>
    </rPh>
    <rPh sb="2" eb="4">
      <t>セイギョ</t>
    </rPh>
    <rPh sb="4" eb="7">
      <t>ドウサチュウ</t>
    </rPh>
    <phoneticPr fontId="1"/>
  </si>
  <si>
    <t>イベントカウント</t>
    <phoneticPr fontId="1"/>
  </si>
  <si>
    <t>カウントダウン停止フラグ</t>
    <rPh sb="7" eb="9">
      <t>テイシ</t>
    </rPh>
    <phoneticPr fontId="1"/>
  </si>
  <si>
    <t>灯色表示1</t>
    <rPh sb="0" eb="2">
      <t>トウショク</t>
    </rPh>
    <rPh sb="2" eb="4">
      <t>ヒョウジ</t>
    </rPh>
    <phoneticPr fontId="1"/>
  </si>
  <si>
    <t>青矢信号表示1</t>
    <rPh sb="0" eb="2">
      <t>アオヤ</t>
    </rPh>
    <rPh sb="2" eb="4">
      <t>シンゴウ</t>
    </rPh>
    <rPh sb="4" eb="6">
      <t>ヒョウジ</t>
    </rPh>
    <phoneticPr fontId="1"/>
  </si>
  <si>
    <t>最小残秒数1</t>
    <rPh sb="0" eb="2">
      <t>サイショウ</t>
    </rPh>
    <rPh sb="2" eb="5">
      <t>ザンビョウスウ</t>
    </rPh>
    <phoneticPr fontId="1"/>
  </si>
  <si>
    <t>0.1s</t>
    <phoneticPr fontId="1"/>
  </si>
  <si>
    <t>最大残秒数1</t>
    <rPh sb="0" eb="2">
      <t>サイダイ</t>
    </rPh>
    <rPh sb="2" eb="5">
      <t>ザンビョウスウ</t>
    </rPh>
    <phoneticPr fontId="1"/>
  </si>
  <si>
    <t>灯色表示2</t>
    <rPh sb="0" eb="2">
      <t>トウショク</t>
    </rPh>
    <rPh sb="2" eb="4">
      <t>ヒョウジ</t>
    </rPh>
    <phoneticPr fontId="1"/>
  </si>
  <si>
    <t>青矢信号表示2</t>
    <rPh sb="0" eb="2">
      <t>アオヤ</t>
    </rPh>
    <rPh sb="2" eb="4">
      <t>シンゴウ</t>
    </rPh>
    <rPh sb="4" eb="6">
      <t>ヒョウジ</t>
    </rPh>
    <phoneticPr fontId="1"/>
  </si>
  <si>
    <t>最小残秒数2</t>
    <rPh sb="0" eb="2">
      <t>サイショウ</t>
    </rPh>
    <rPh sb="2" eb="5">
      <t>ザンビョウスウ</t>
    </rPh>
    <phoneticPr fontId="1"/>
  </si>
  <si>
    <t>最大残秒数2</t>
    <rPh sb="0" eb="2">
      <t>サイダイ</t>
    </rPh>
    <rPh sb="2" eb="5">
      <t>ザンビョウスウ</t>
    </rPh>
    <phoneticPr fontId="1"/>
  </si>
  <si>
    <t>灯色表示3</t>
    <rPh sb="0" eb="2">
      <t>トウショク</t>
    </rPh>
    <rPh sb="2" eb="4">
      <t>ヒョウジ</t>
    </rPh>
    <phoneticPr fontId="1"/>
  </si>
  <si>
    <t>青矢信号表示3</t>
    <rPh sb="0" eb="2">
      <t>アオヤ</t>
    </rPh>
    <rPh sb="2" eb="4">
      <t>シンゴウ</t>
    </rPh>
    <rPh sb="4" eb="6">
      <t>ヒョウジ</t>
    </rPh>
    <phoneticPr fontId="1"/>
  </si>
  <si>
    <t>最小残秒数3</t>
    <rPh sb="0" eb="2">
      <t>サイショウ</t>
    </rPh>
    <rPh sb="2" eb="5">
      <t>ザンビョウスウ</t>
    </rPh>
    <phoneticPr fontId="1"/>
  </si>
  <si>
    <t>最大残秒数3</t>
    <rPh sb="0" eb="2">
      <t>サイダイ</t>
    </rPh>
    <rPh sb="2" eb="5">
      <t>ザンビョウスウ</t>
    </rPh>
    <phoneticPr fontId="1"/>
  </si>
  <si>
    <t>灯色表示4</t>
    <rPh sb="0" eb="2">
      <t>トウショク</t>
    </rPh>
    <rPh sb="2" eb="4">
      <t>ヒョウジ</t>
    </rPh>
    <phoneticPr fontId="1"/>
  </si>
  <si>
    <t>青矢信号表示4</t>
    <rPh sb="0" eb="2">
      <t>アオヤ</t>
    </rPh>
    <rPh sb="2" eb="4">
      <t>シンゴウ</t>
    </rPh>
    <rPh sb="4" eb="6">
      <t>ヒョウジ</t>
    </rPh>
    <phoneticPr fontId="1"/>
  </si>
  <si>
    <t>最小残秒数4</t>
    <rPh sb="0" eb="2">
      <t>サイショウ</t>
    </rPh>
    <rPh sb="2" eb="5">
      <t>ザンビョウスウ</t>
    </rPh>
    <phoneticPr fontId="1"/>
  </si>
  <si>
    <t>最大残秒数4</t>
    <rPh sb="0" eb="2">
      <t>サイダイ</t>
    </rPh>
    <rPh sb="2" eb="5">
      <t>ザンビョウスウ</t>
    </rPh>
    <phoneticPr fontId="1"/>
  </si>
  <si>
    <t>灯色表示5</t>
    <rPh sb="0" eb="2">
      <t>トウショク</t>
    </rPh>
    <rPh sb="2" eb="4">
      <t>ヒョウジ</t>
    </rPh>
    <phoneticPr fontId="1"/>
  </si>
  <si>
    <t>青矢信号表示5</t>
    <rPh sb="0" eb="2">
      <t>アオヤ</t>
    </rPh>
    <rPh sb="2" eb="4">
      <t>シンゴウ</t>
    </rPh>
    <rPh sb="4" eb="6">
      <t>ヒョウジ</t>
    </rPh>
    <phoneticPr fontId="1"/>
  </si>
  <si>
    <t>最小残秒数5</t>
    <rPh sb="0" eb="2">
      <t>サイショウ</t>
    </rPh>
    <rPh sb="2" eb="5">
      <t>ザンビョウスウ</t>
    </rPh>
    <phoneticPr fontId="1"/>
  </si>
  <si>
    <t>最大残秒数5</t>
    <rPh sb="0" eb="2">
      <t>サイダイ</t>
    </rPh>
    <rPh sb="2" eb="5">
      <t>ザンビョウスウ</t>
    </rPh>
    <phoneticPr fontId="1"/>
  </si>
  <si>
    <t>灯色表示6</t>
    <rPh sb="0" eb="2">
      <t>トウショク</t>
    </rPh>
    <rPh sb="2" eb="4">
      <t>ヒョウジ</t>
    </rPh>
    <phoneticPr fontId="1"/>
  </si>
  <si>
    <t>青矢信号表示6</t>
    <rPh sb="0" eb="2">
      <t>アオヤ</t>
    </rPh>
    <rPh sb="2" eb="4">
      <t>シンゴウ</t>
    </rPh>
    <rPh sb="4" eb="6">
      <t>ヒョウジ</t>
    </rPh>
    <phoneticPr fontId="1"/>
  </si>
  <si>
    <t>最小残秒数6</t>
    <rPh sb="0" eb="2">
      <t>サイショウ</t>
    </rPh>
    <rPh sb="2" eb="5">
      <t>ザンビョウスウ</t>
    </rPh>
    <phoneticPr fontId="1"/>
  </si>
  <si>
    <t>最大残秒数6</t>
    <rPh sb="0" eb="2">
      <t>サイダイ</t>
    </rPh>
    <rPh sb="2" eb="5">
      <t>ザンビョウスウ</t>
    </rPh>
    <phoneticPr fontId="1"/>
  </si>
  <si>
    <t>灯色表示7</t>
    <rPh sb="0" eb="2">
      <t>トウショク</t>
    </rPh>
    <rPh sb="2" eb="4">
      <t>ヒョウジ</t>
    </rPh>
    <phoneticPr fontId="1"/>
  </si>
  <si>
    <t>青矢信号表示7</t>
    <rPh sb="0" eb="2">
      <t>アオヤ</t>
    </rPh>
    <rPh sb="2" eb="4">
      <t>シンゴウ</t>
    </rPh>
    <rPh sb="4" eb="6">
      <t>ヒョウジ</t>
    </rPh>
    <phoneticPr fontId="1"/>
  </si>
  <si>
    <t>最小残秒数7</t>
    <rPh sb="0" eb="2">
      <t>サイショウ</t>
    </rPh>
    <rPh sb="2" eb="5">
      <t>ザンビョウスウ</t>
    </rPh>
    <phoneticPr fontId="1"/>
  </si>
  <si>
    <t>最大残秒数7</t>
    <rPh sb="0" eb="2">
      <t>サイダイ</t>
    </rPh>
    <rPh sb="2" eb="5">
      <t>ザンビョウスウ</t>
    </rPh>
    <phoneticPr fontId="1"/>
  </si>
  <si>
    <t>灯色表示8</t>
    <rPh sb="0" eb="2">
      <t>トウショク</t>
    </rPh>
    <rPh sb="2" eb="4">
      <t>ヒョウジ</t>
    </rPh>
    <phoneticPr fontId="1"/>
  </si>
  <si>
    <t>青矢信号表示8</t>
    <rPh sb="0" eb="2">
      <t>アオヤ</t>
    </rPh>
    <rPh sb="2" eb="4">
      <t>シンゴウ</t>
    </rPh>
    <rPh sb="4" eb="6">
      <t>ヒョウジ</t>
    </rPh>
    <phoneticPr fontId="1"/>
  </si>
  <si>
    <t>最小残秒数8</t>
    <rPh sb="0" eb="2">
      <t>サイショウ</t>
    </rPh>
    <rPh sb="2" eb="5">
      <t>ザンビョウスウ</t>
    </rPh>
    <phoneticPr fontId="1"/>
  </si>
  <si>
    <t>最大残秒数8</t>
    <rPh sb="0" eb="2">
      <t>サイダイ</t>
    </rPh>
    <rPh sb="2" eb="5">
      <t>ザンビョウスウ</t>
    </rPh>
    <phoneticPr fontId="1"/>
  </si>
  <si>
    <t>灯色表示9</t>
    <rPh sb="0" eb="2">
      <t>トウショク</t>
    </rPh>
    <rPh sb="2" eb="4">
      <t>ヒョウジ</t>
    </rPh>
    <phoneticPr fontId="1"/>
  </si>
  <si>
    <t>青矢信号表示9</t>
    <rPh sb="0" eb="2">
      <t>アオヤ</t>
    </rPh>
    <rPh sb="2" eb="4">
      <t>シンゴウ</t>
    </rPh>
    <rPh sb="4" eb="6">
      <t>ヒョウジ</t>
    </rPh>
    <phoneticPr fontId="1"/>
  </si>
  <si>
    <t>最小残秒数9</t>
    <rPh sb="0" eb="2">
      <t>サイショウ</t>
    </rPh>
    <rPh sb="2" eb="5">
      <t>ザンビョウスウ</t>
    </rPh>
    <phoneticPr fontId="1"/>
  </si>
  <si>
    <t>最大残秒数9</t>
    <rPh sb="0" eb="2">
      <t>サイダイ</t>
    </rPh>
    <rPh sb="2" eb="5">
      <t>ザンビョウスウ</t>
    </rPh>
    <phoneticPr fontId="1"/>
  </si>
  <si>
    <t>灯色表示10</t>
    <rPh sb="0" eb="2">
      <t>トウショク</t>
    </rPh>
    <rPh sb="2" eb="4">
      <t>ヒョウジ</t>
    </rPh>
    <phoneticPr fontId="1"/>
  </si>
  <si>
    <t>青矢信号表示10</t>
    <rPh sb="0" eb="2">
      <t>アオヤ</t>
    </rPh>
    <rPh sb="2" eb="4">
      <t>シンゴウ</t>
    </rPh>
    <rPh sb="4" eb="6">
      <t>ヒョウジ</t>
    </rPh>
    <phoneticPr fontId="1"/>
  </si>
  <si>
    <t>最小残秒数10</t>
    <rPh sb="0" eb="2">
      <t>サイショウ</t>
    </rPh>
    <rPh sb="2" eb="5">
      <t>ザンビョウスウ</t>
    </rPh>
    <phoneticPr fontId="1"/>
  </si>
  <si>
    <t>最大残秒数10</t>
    <rPh sb="0" eb="2">
      <t>サイダイ</t>
    </rPh>
    <rPh sb="2" eb="5">
      <t>ザンビョウスウ</t>
    </rPh>
    <phoneticPr fontId="1"/>
  </si>
  <si>
    <t>灯色表示11</t>
    <rPh sb="0" eb="2">
      <t>トウショク</t>
    </rPh>
    <rPh sb="2" eb="4">
      <t>ヒョウジ</t>
    </rPh>
    <phoneticPr fontId="1"/>
  </si>
  <si>
    <t>青矢信号表示11</t>
    <rPh sb="0" eb="2">
      <t>アオヤ</t>
    </rPh>
    <rPh sb="2" eb="4">
      <t>シンゴウ</t>
    </rPh>
    <rPh sb="4" eb="6">
      <t>ヒョウジ</t>
    </rPh>
    <phoneticPr fontId="1"/>
  </si>
  <si>
    <t>最小残秒数11</t>
    <rPh sb="0" eb="2">
      <t>サイショウ</t>
    </rPh>
    <rPh sb="2" eb="5">
      <t>ザンビョウスウ</t>
    </rPh>
    <phoneticPr fontId="1"/>
  </si>
  <si>
    <t>最大残秒数11</t>
    <rPh sb="0" eb="2">
      <t>サイダイ</t>
    </rPh>
    <rPh sb="2" eb="5">
      <t>ザンビョウスウ</t>
    </rPh>
    <phoneticPr fontId="1"/>
  </si>
  <si>
    <t>灯色表示12</t>
    <rPh sb="0" eb="2">
      <t>トウショク</t>
    </rPh>
    <rPh sb="2" eb="4">
      <t>ヒョウジ</t>
    </rPh>
    <phoneticPr fontId="1"/>
  </si>
  <si>
    <t>青矢信号表示12</t>
    <rPh sb="0" eb="2">
      <t>アオヤ</t>
    </rPh>
    <rPh sb="2" eb="4">
      <t>シンゴウ</t>
    </rPh>
    <rPh sb="4" eb="6">
      <t>ヒョウジ</t>
    </rPh>
    <phoneticPr fontId="1"/>
  </si>
  <si>
    <t>最小残秒数12</t>
    <rPh sb="0" eb="2">
      <t>サイショウ</t>
    </rPh>
    <rPh sb="2" eb="5">
      <t>ザンビョウスウ</t>
    </rPh>
    <phoneticPr fontId="1"/>
  </si>
  <si>
    <t>最大残秒数12</t>
    <rPh sb="0" eb="2">
      <t>サイダイ</t>
    </rPh>
    <rPh sb="2" eb="5">
      <t>ザンビョウスウ</t>
    </rPh>
    <phoneticPr fontId="1"/>
  </si>
  <si>
    <t>信号情報2</t>
    <rPh sb="0" eb="4">
      <t>シンゴウジョウホウ</t>
    </rPh>
    <phoneticPr fontId="1"/>
  </si>
  <si>
    <t>信号情報N</t>
    <rPh sb="0" eb="4">
      <t>シンゴウジョウホウ</t>
    </rPh>
    <phoneticPr fontId="1"/>
  </si>
  <si>
    <t>備考</t>
    <rPh sb="0" eb="2">
      <t>ビコウ</t>
    </rPh>
    <phoneticPr fontId="1"/>
  </si>
  <si>
    <t>DMからデータを受信した場合のみ意味のある値が設定される領域なので，送信者がデータを作る場合はどんな値が入っていても無視される</t>
    <rPh sb="8" eb="10">
      <t>ジュシン</t>
    </rPh>
    <rPh sb="12" eb="14">
      <t>バアイ</t>
    </rPh>
    <rPh sb="16" eb="18">
      <t>イミ</t>
    </rPh>
    <rPh sb="21" eb="22">
      <t>アタイ</t>
    </rPh>
    <rPh sb="23" eb="25">
      <t>セッテイ</t>
    </rPh>
    <rPh sb="28" eb="30">
      <t>リョウイキ</t>
    </rPh>
    <rPh sb="34" eb="37">
      <t>ソウシンシャ</t>
    </rPh>
    <rPh sb="42" eb="43">
      <t>ツク</t>
    </rPh>
    <rPh sb="44" eb="46">
      <t>バアイ</t>
    </rPh>
    <rPh sb="50" eb="51">
      <t>アタイ</t>
    </rPh>
    <rPh sb="52" eb="53">
      <t>ハイ</t>
    </rPh>
    <rPh sb="58" eb="60">
      <t>ムシ</t>
    </rPh>
    <phoneticPr fontId="1"/>
  </si>
  <si>
    <t>DMからデータを受信した場合のみ意味のある値が設定される領域なので，送信者がデータを作る場合はどんな値が入っていても無視される</t>
    <rPh sb="8" eb="10">
      <t>ジュシン</t>
    </rPh>
    <rPh sb="12" eb="14">
      <t>バアイ</t>
    </rPh>
    <rPh sb="23" eb="25">
      <t>セッテイ</t>
    </rPh>
    <rPh sb="28" eb="30">
      <t>リョウイキ</t>
    </rPh>
    <rPh sb="34" eb="37">
      <t>ソウシンシャ</t>
    </rPh>
    <rPh sb="42" eb="43">
      <t>ツク</t>
    </rPh>
    <rPh sb="44" eb="46">
      <t>バアイ</t>
    </rPh>
    <rPh sb="50" eb="51">
      <t>アタイ</t>
    </rPh>
    <rPh sb="52" eb="53">
      <t>ハイ</t>
    </rPh>
    <rPh sb="58" eb="60">
      <t>ムシ</t>
    </rPh>
    <phoneticPr fontId="1"/>
  </si>
  <si>
    <t>平面直角座標x座標</t>
    <rPh sb="0" eb="6">
      <t>ヘイメンチョッカクザヒョウ</t>
    </rPh>
    <rPh sb="7" eb="9">
      <t>ザヒョウ</t>
    </rPh>
    <phoneticPr fontId="1"/>
  </si>
  <si>
    <t>平面直角座標y座標</t>
    <rPh sb="0" eb="6">
      <t>ヘイメンチョッカクザヒョウ</t>
    </rPh>
    <rPh sb="7" eb="9">
      <t>ザヒョウ</t>
    </rPh>
    <phoneticPr fontId="1"/>
  </si>
  <si>
    <t>平面直角座標高さ</t>
    <rPh sb="0" eb="6">
      <t>ヘイメンチョッカクザヒョウ</t>
    </rPh>
    <rPh sb="6" eb="7">
      <t>タカ</t>
    </rPh>
    <phoneticPr fontId="1"/>
  </si>
  <si>
    <t>空間参照系(地理的）</t>
    <phoneticPr fontId="1"/>
  </si>
  <si>
    <t>空間参照系(投影的）</t>
    <rPh sb="6" eb="8">
      <t>トウエイ</t>
    </rPh>
    <phoneticPr fontId="1"/>
  </si>
  <si>
    <t>物標の静止状態</t>
    <rPh sb="0" eb="2">
      <t>ブツヒョウ</t>
    </rPh>
    <rPh sb="3" eb="5">
      <t>セイシ</t>
    </rPh>
    <rPh sb="5" eb="7">
      <t>ジョウタイ</t>
    </rPh>
    <phoneticPr fontId="1"/>
  </si>
  <si>
    <t>車両サイズ種別</t>
    <rPh sb="0" eb="2">
      <t>シャリョウ</t>
    </rPh>
    <rPh sb="5" eb="7">
      <t>シュベツ</t>
    </rPh>
    <phoneticPr fontId="1"/>
  </si>
  <si>
    <t>トラッキング状態</t>
    <rPh sb="6" eb="8">
      <t>ジョウタイ</t>
    </rPh>
    <phoneticPr fontId="1"/>
  </si>
  <si>
    <t>検知回数</t>
    <rPh sb="0" eb="4">
      <t>ケンチカイスウ</t>
    </rPh>
    <phoneticPr fontId="1"/>
  </si>
  <si>
    <t>連続未検知回数</t>
    <rPh sb="0" eb="2">
      <t>レンゾク</t>
    </rPh>
    <rPh sb="2" eb="5">
      <t>ミケンチ</t>
    </rPh>
    <rPh sb="5" eb="7">
      <t>カイスウ</t>
    </rPh>
    <phoneticPr fontId="1"/>
  </si>
  <si>
    <t>生存時間</t>
    <rPh sb="0" eb="2">
      <t>セイゾン</t>
    </rPh>
    <rPh sb="2" eb="4">
      <t>ジカン</t>
    </rPh>
    <phoneticPr fontId="1"/>
  </si>
  <si>
    <t>0.1sec</t>
    <phoneticPr fontId="1"/>
  </si>
  <si>
    <t>検知方法</t>
    <rPh sb="0" eb="4">
      <t>ケンチホウホウ</t>
    </rPh>
    <phoneticPr fontId="1"/>
  </si>
  <si>
    <t>検知可能物標種別</t>
    <rPh sb="0" eb="2">
      <t>ケンチ</t>
    </rPh>
    <rPh sb="2" eb="4">
      <t>カノウ</t>
    </rPh>
    <rPh sb="4" eb="6">
      <t>ブツヒョウ</t>
    </rPh>
    <rPh sb="6" eb="8">
      <t>シュベツ</t>
    </rPh>
    <phoneticPr fontId="1"/>
  </si>
  <si>
    <t>フリースペース頂点のリスト長さ</t>
    <rPh sb="7" eb="9">
      <t>チョウテン</t>
    </rPh>
    <rPh sb="13" eb="14">
      <t>ナガ</t>
    </rPh>
    <phoneticPr fontId="1"/>
  </si>
  <si>
    <t>フリースペース頂点のリスト（ｘ座標）</t>
    <rPh sb="7" eb="9">
      <t>チョウテン</t>
    </rPh>
    <rPh sb="15" eb="17">
      <t>ザヒョウ</t>
    </rPh>
    <phoneticPr fontId="1"/>
  </si>
  <si>
    <t>フリースペース頂点のリスト（ｙ座標）</t>
    <rPh sb="7" eb="9">
      <t>チョウテン</t>
    </rPh>
    <rPh sb="15" eb="17">
      <t>ザヒョウ</t>
    </rPh>
    <phoneticPr fontId="1"/>
  </si>
  <si>
    <t>vector(int32)</t>
    <phoneticPr fontId="1"/>
  </si>
  <si>
    <t>最大15</t>
    <rPh sb="0" eb="2">
      <t>サイダイ</t>
    </rPh>
    <phoneticPr fontId="1"/>
  </si>
  <si>
    <t>最大サイズを記載している（4 x 15)</t>
    <rPh sb="0" eb="2">
      <t>サイダイ</t>
    </rPh>
    <rPh sb="6" eb="8">
      <t>キサイ</t>
    </rPh>
    <phoneticPr fontId="1"/>
  </si>
  <si>
    <t>このメッセージに含まれるデータ数 N （1≦N≦3)</t>
    <rPh sb="8" eb="9">
      <t>フク</t>
    </rPh>
    <rPh sb="15" eb="16">
      <t>スウ</t>
    </rPh>
    <phoneticPr fontId="1"/>
  </si>
  <si>
    <t>センサー情報1</t>
    <rPh sb="4" eb="6">
      <t>ジョウホウ</t>
    </rPh>
    <phoneticPr fontId="1"/>
  </si>
  <si>
    <t>観測機器ID</t>
    <rPh sb="0" eb="4">
      <t>カンソクキキ</t>
    </rPh>
    <phoneticPr fontId="1"/>
  </si>
  <si>
    <t>センサーID</t>
    <phoneticPr fontId="1"/>
  </si>
  <si>
    <t>センサータイプ</t>
    <phoneticPr fontId="1"/>
  </si>
  <si>
    <t>検知可能物標種別[1]</t>
    <rPh sb="0" eb="2">
      <t>ケンチ</t>
    </rPh>
    <rPh sb="2" eb="4">
      <t>カノウ</t>
    </rPh>
    <rPh sb="4" eb="6">
      <t>ブツヒョウ</t>
    </rPh>
    <rPh sb="6" eb="8">
      <t>シュベツ</t>
    </rPh>
    <phoneticPr fontId="1"/>
  </si>
  <si>
    <t>検知領域ポリゴン頂点数L[1][(1≦L≦16)]</t>
    <rPh sb="0" eb="4">
      <t>ケンチリョウイキ</t>
    </rPh>
    <rPh sb="8" eb="10">
      <t>チョウテン</t>
    </rPh>
    <rPh sb="10" eb="11">
      <t>スウ</t>
    </rPh>
    <phoneticPr fontId="1"/>
  </si>
  <si>
    <t>最大サイズを記載</t>
    <rPh sb="0" eb="2">
      <t>サイダイ</t>
    </rPh>
    <rPh sb="6" eb="8">
      <t>キサイ</t>
    </rPh>
    <phoneticPr fontId="1"/>
  </si>
  <si>
    <t>センサー情報1/検知性能情報1</t>
    <rPh sb="4" eb="6">
      <t>ジョウホウ</t>
    </rPh>
    <rPh sb="8" eb="10">
      <t>ケンチ</t>
    </rPh>
    <rPh sb="10" eb="14">
      <t>セイノウジョウホウ</t>
    </rPh>
    <phoneticPr fontId="1"/>
  </si>
  <si>
    <t>このメッセージに含まれるデータ数 N （1≦N≦1)</t>
    <rPh sb="8" eb="9">
      <t>フク</t>
    </rPh>
    <rPh sb="15" eb="16">
      <t>スウ</t>
    </rPh>
    <phoneticPr fontId="1"/>
  </si>
  <si>
    <t>センサー状態</t>
    <rPh sb="4" eb="6">
      <t>ジョウタイ</t>
    </rPh>
    <phoneticPr fontId="1"/>
  </si>
  <si>
    <t>牽引車両ID</t>
    <phoneticPr fontId="1"/>
  </si>
  <si>
    <t>検知性能情報数M(1≦M≦8)</t>
    <rPh sb="0" eb="2">
      <t>ケンチ</t>
    </rPh>
    <rPh sb="2" eb="4">
      <t>セイノウ</t>
    </rPh>
    <rPh sb="4" eb="6">
      <t>ジョウホウ</t>
    </rPh>
    <rPh sb="6" eb="7">
      <t>スウ</t>
    </rPh>
    <phoneticPr fontId="1"/>
  </si>
  <si>
    <t>このメッセージに含まれるデータ数 N （1≦N≦6)</t>
    <rPh sb="8" eb="9">
      <t>フク</t>
    </rPh>
    <rPh sb="15" eb="16">
      <t>スウ</t>
    </rPh>
    <phoneticPr fontId="1"/>
  </si>
  <si>
    <t>リビジョン番号</t>
    <rPh sb="5" eb="7">
      <t>バンゴウ</t>
    </rPh>
    <phoneticPr fontId="1"/>
  </si>
  <si>
    <t>DE_RevisionNumber 0~63</t>
    <phoneticPr fontId="1"/>
  </si>
  <si>
    <t>受信したデータのユニーク性に影響する．物標IDと時刻に加えてこのフィールドの値をもとにハッシュ値を作るなどにより物標の特定を行うなどの使い方をする</t>
    <rPh sb="0" eb="2">
      <t>ジュシン</t>
    </rPh>
    <rPh sb="12" eb="13">
      <t>セイ</t>
    </rPh>
    <rPh sb="14" eb="16">
      <t>エイキョウ</t>
    </rPh>
    <rPh sb="19" eb="21">
      <t>ブツヒョウ</t>
    </rPh>
    <rPh sb="24" eb="26">
      <t>ジコク</t>
    </rPh>
    <rPh sb="27" eb="28">
      <t>クワ</t>
    </rPh>
    <rPh sb="38" eb="39">
      <t>アタイ</t>
    </rPh>
    <rPh sb="47" eb="48">
      <t>アタイ</t>
    </rPh>
    <rPh sb="49" eb="50">
      <t>ツク</t>
    </rPh>
    <rPh sb="56" eb="58">
      <t>ブツヒョウ</t>
    </rPh>
    <rPh sb="59" eb="61">
      <t>トクテイ</t>
    </rPh>
    <rPh sb="62" eb="63">
      <t>オコナ</t>
    </rPh>
    <rPh sb="67" eb="68">
      <t>ツカ</t>
    </rPh>
    <rPh sb="69" eb="70">
      <t>カタ</t>
    </rPh>
    <phoneticPr fontId="1"/>
  </si>
  <si>
    <t>time</t>
  </si>
  <si>
    <t>revision</t>
    <phoneticPr fontId="1"/>
  </si>
  <si>
    <t>length_value</t>
  </si>
  <si>
    <t>length_accuracy</t>
  </si>
  <si>
    <t>existency</t>
  </si>
  <si>
    <t>object_id</t>
    <phoneticPr fontId="1"/>
  </si>
  <si>
    <t>object_class_id_0</t>
  </si>
  <si>
    <t>object_class_confidence_0</t>
  </si>
  <si>
    <t>object_class_subclass_type_0</t>
  </si>
  <si>
    <t>object_class_subclass_confidence_0</t>
  </si>
  <si>
    <t>object_class_id_1</t>
  </si>
  <si>
    <t>object_class_confidence_1</t>
  </si>
  <si>
    <t>object_class_subclass_type_1</t>
  </si>
  <si>
    <t>object_class_subclass_confidence_1</t>
  </si>
  <si>
    <t>object_class_id_2</t>
  </si>
  <si>
    <t>object_class_confidence_2</t>
  </si>
  <si>
    <t>object_class_subclass_type_2</t>
  </si>
  <si>
    <t>object_class_subclass_confidence_2</t>
  </si>
  <si>
    <t>object_class_id_3</t>
  </si>
  <si>
    <t>object_class_confidence_3</t>
  </si>
  <si>
    <t>object_class_subclass_type_3</t>
  </si>
  <si>
    <t>object_class_subclass_confidence_3</t>
  </si>
  <si>
    <t>geodetic_srid</t>
    <phoneticPr fontId="1"/>
  </si>
  <si>
    <t>latitude</t>
  </si>
  <si>
    <t>longitude</t>
  </si>
  <si>
    <t>altitude</t>
  </si>
  <si>
    <t>projective_srid</t>
    <phoneticPr fontId="1"/>
  </si>
  <si>
    <t>prc_x</t>
    <phoneticPr fontId="1"/>
  </si>
  <si>
    <t>prc_y</t>
  </si>
  <si>
    <t>prc_z</t>
  </si>
  <si>
    <t>crp_id</t>
  </si>
  <si>
    <t>dx_crp</t>
  </si>
  <si>
    <t>dy_crp</t>
  </si>
  <si>
    <t>dh_crp</t>
  </si>
  <si>
    <t>lane_count</t>
  </si>
  <si>
    <t>lane_position</t>
  </si>
  <si>
    <t>lane_lateral_position</t>
  </si>
  <si>
    <t>crp_id_begin</t>
  </si>
  <si>
    <t>crp_id_end</t>
  </si>
  <si>
    <t>lane_vertical_position</t>
  </si>
  <si>
    <t>lane_id</t>
  </si>
  <si>
    <t>dx_lane</t>
  </si>
  <si>
    <t>dy_lane</t>
  </si>
  <si>
    <t>dh_lane</t>
  </si>
  <si>
    <t>semi_axis_length_major</t>
  </si>
  <si>
    <t>semi_axis_length_minor</t>
  </si>
  <si>
    <t>ellipse_orientation</t>
  </si>
  <si>
    <t>altitude_accuracy</t>
  </si>
  <si>
    <t>reference_point</t>
    <phoneticPr fontId="1"/>
  </si>
  <si>
    <t>move_direction_value</t>
  </si>
  <si>
    <t>move_direction_accuracy</t>
  </si>
  <si>
    <t>speed_value</t>
  </si>
  <si>
    <t>speed_accuracy</t>
  </si>
  <si>
    <t>yaw_rate_value</t>
  </si>
  <si>
    <t>yaw_rate_accuracy</t>
  </si>
  <si>
    <t>acceleration_value</t>
  </si>
  <si>
    <t>acceleration_accuracy</t>
  </si>
  <si>
    <t>orientation_value</t>
  </si>
  <si>
    <t>orientation_accuracy</t>
  </si>
  <si>
    <t>width_value</t>
  </si>
  <si>
    <t>width_accuracy</t>
  </si>
  <si>
    <t>height_value</t>
  </si>
  <si>
    <t>height_accuracy</t>
  </si>
  <si>
    <t>static_status</t>
    <phoneticPr fontId="1"/>
  </si>
  <si>
    <t>shift_position</t>
  </si>
  <si>
    <t>steering_angle_front</t>
  </si>
  <si>
    <t>steering_angle_rear</t>
  </si>
  <si>
    <t>brake_state</t>
  </si>
  <si>
    <t>auxiliary_brake_state</t>
  </si>
  <si>
    <t>throttle_position</t>
  </si>
  <si>
    <t>exterior_lights</t>
  </si>
  <si>
    <t>adaptive_cruise_control_system</t>
  </si>
  <si>
    <t>cooperative_adaptive_cruise_control_system</t>
  </si>
  <si>
    <t>pre_crash_safety_system</t>
  </si>
  <si>
    <t>antilock_brake_system</t>
  </si>
  <si>
    <t>traction_control_system</t>
  </si>
  <si>
    <t>electronic_stability_control_system</t>
  </si>
  <si>
    <t>lane_keeping_assist_system</t>
  </si>
  <si>
    <t>lane_departure_warning_system</t>
  </si>
  <si>
    <t>vehicle_size_type</t>
    <phoneticPr fontId="1"/>
  </si>
  <si>
    <t>vehicle_role</t>
  </si>
  <si>
    <t>vehicle_extended_info</t>
  </si>
  <si>
    <t>towing_vehicle</t>
  </si>
  <si>
    <t>tracking_status</t>
    <phoneticPr fontId="1"/>
  </si>
  <si>
    <t>detection_count</t>
  </si>
  <si>
    <t>lost_count</t>
  </si>
  <si>
    <t>object_age</t>
  </si>
  <si>
    <t>information_source_list_0</t>
    <phoneticPr fontId="1"/>
  </si>
  <si>
    <t>information_source_list_1</t>
    <phoneticPr fontId="1"/>
  </si>
  <si>
    <t>information_source_list_2</t>
    <phoneticPr fontId="1"/>
  </si>
  <si>
    <t>information_source_list_3</t>
    <phoneticPr fontId="1"/>
  </si>
  <si>
    <t>major_version</t>
    <phoneticPr fontId="1"/>
  </si>
  <si>
    <t>minor_version</t>
    <phoneticPr fontId="1"/>
  </si>
  <si>
    <t>patch_version</t>
    <phoneticPr fontId="1"/>
  </si>
  <si>
    <t>frame_id</t>
    <phoneticPr fontId="1"/>
  </si>
  <si>
    <t>split_id</t>
    <phoneticPr fontId="1"/>
  </si>
  <si>
    <t>split_size</t>
    <phoneticPr fontId="1"/>
  </si>
  <si>
    <t>type</t>
    <phoneticPr fontId="1"/>
  </si>
  <si>
    <t>data_count</t>
    <phoneticPr fontId="1"/>
  </si>
  <si>
    <t>項目名</t>
    <rPh sb="0" eb="3">
      <t>コウモクメイ</t>
    </rPh>
    <phoneticPr fontId="1"/>
  </si>
  <si>
    <t>和名</t>
    <rPh sb="0" eb="2">
      <t>ワメイ</t>
    </rPh>
    <phoneticPr fontId="1"/>
  </si>
  <si>
    <t>No.</t>
    <phoneticPr fontId="1"/>
  </si>
  <si>
    <t>物標情報１</t>
    <rPh sb="0" eb="1">
      <t>ブツ</t>
    </rPh>
    <rPh sb="1" eb="2">
      <t>ヒョウ</t>
    </rPh>
    <rPh sb="2" eb="4">
      <t>ジョウホウ</t>
    </rPh>
    <phoneticPr fontId="1"/>
  </si>
  <si>
    <t>id</t>
  </si>
  <si>
    <t>detection_method</t>
  </si>
  <si>
    <t>detactable_classes</t>
  </si>
  <si>
    <t>revision</t>
  </si>
  <si>
    <t>vertices_begin_geodetic_srid</t>
  </si>
  <si>
    <t>vertices_begin_latitude</t>
  </si>
  <si>
    <t>vertices_begin_longitude</t>
  </si>
  <si>
    <t>vertices_begin_altitude</t>
  </si>
  <si>
    <t>vertices_begin_projective_srid</t>
  </si>
  <si>
    <t>vertices_begin_prc_x</t>
  </si>
  <si>
    <t>vertices_begin_prc_y</t>
  </si>
  <si>
    <t>vertices_begin_prc_z</t>
  </si>
  <si>
    <t>vertices_begin_crp_id</t>
  </si>
  <si>
    <t>vertices_begin_dx_crp</t>
  </si>
  <si>
    <t>vertices_begin_dy_crp</t>
  </si>
  <si>
    <t>vertices_begin_dh_crp</t>
  </si>
  <si>
    <t>vertices_begin_lane_count</t>
  </si>
  <si>
    <t>vertices_begin_lane_position</t>
  </si>
  <si>
    <t>vertices_begin_lane_lateral_position</t>
  </si>
  <si>
    <t>vertices_begin_crp_id_begin</t>
  </si>
  <si>
    <t>vertices_begin_crp_id_end</t>
  </si>
  <si>
    <t>vertices_begin_lane_vertical_position</t>
  </si>
  <si>
    <t>vertices_begin_lane_id</t>
  </si>
  <si>
    <t>vertices_begin_dx_lane</t>
  </si>
  <si>
    <t>vertices_begin_dy_lane</t>
  </si>
  <si>
    <t>vertices_begin_dh_lane</t>
  </si>
  <si>
    <t>vertices_begin_semi_axis_length_major</t>
  </si>
  <si>
    <t>vertices_begin_semi_axis_length_minor</t>
  </si>
  <si>
    <t>vertices_begin_ellipse_orientation</t>
  </si>
  <si>
    <t>vertices_begin_altitude_accuracy</t>
  </si>
  <si>
    <t>vertices_dx_list</t>
  </si>
  <si>
    <t>vertices_dy_list</t>
  </si>
  <si>
    <t>position_begin_geodetic_srid</t>
  </si>
  <si>
    <t>position_begin_latitude</t>
  </si>
  <si>
    <t>position_begin_longitude</t>
  </si>
  <si>
    <t>position_begin_altitude</t>
  </si>
  <si>
    <t>position_begin_projective_srid</t>
  </si>
  <si>
    <t>position_begin_prc_x</t>
  </si>
  <si>
    <t>position_begin_prc_y</t>
  </si>
  <si>
    <t>position_begin_prc_z</t>
  </si>
  <si>
    <t>position_begin_crp_id</t>
  </si>
  <si>
    <t>position_begin_dx_crp</t>
  </si>
  <si>
    <t>position_begin_dy_crp</t>
  </si>
  <si>
    <t>position_begin_dh_crp</t>
  </si>
  <si>
    <t>position_begin_lane_count</t>
  </si>
  <si>
    <t>position_begin_lane_position</t>
  </si>
  <si>
    <t>position_begin_lane_lateral_position</t>
  </si>
  <si>
    <t>position_begin_crp_id_begin</t>
  </si>
  <si>
    <t>position_begin_crp_id_end</t>
  </si>
  <si>
    <t>position_begin_lane_vertical_position</t>
  </si>
  <si>
    <t>position_begin_lane_id</t>
  </si>
  <si>
    <t>position_begin_dx_lane</t>
  </si>
  <si>
    <t>position_begin_dy_lane</t>
  </si>
  <si>
    <t>position_begin_dh_lane</t>
  </si>
  <si>
    <t>position_begin_semi_axis_length_major</t>
  </si>
  <si>
    <t>position_begin_semi_axis_length_minor</t>
  </si>
  <si>
    <t>position_begin_ellipse_orientation</t>
  </si>
  <si>
    <t>position_begin_altitude_accuracy</t>
  </si>
  <si>
    <t>position_end_geodetic_srid</t>
  </si>
  <si>
    <t>空間参照系（終点）</t>
  </si>
  <si>
    <t>position_end_latitude</t>
  </si>
  <si>
    <t>緯度（終点）</t>
  </si>
  <si>
    <t>position_end_longitude</t>
  </si>
  <si>
    <t>経度（終点）</t>
  </si>
  <si>
    <t>position_end_altitude</t>
  </si>
  <si>
    <t>標高（終点）</t>
  </si>
  <si>
    <t>position_end_projective_srid</t>
  </si>
  <si>
    <t>position_end_prc_x</t>
  </si>
  <si>
    <t>X座標（終点）</t>
  </si>
  <si>
    <t>position_end_prc_y</t>
  </si>
  <si>
    <t>Y座標（終点）</t>
  </si>
  <si>
    <t>position_end_prc_z</t>
  </si>
  <si>
    <t>position_end_crp_id</t>
  </si>
  <si>
    <t>CRP ID（終点）</t>
  </si>
  <si>
    <t>position_end_dx_crp</t>
  </si>
  <si>
    <t>CRPからのX方向相対位置（終点）</t>
    <rPh sb="7" eb="9">
      <t>ホウコウ</t>
    </rPh>
    <rPh sb="9" eb="13">
      <t>ソウタイイチ</t>
    </rPh>
    <phoneticPr fontId="1"/>
  </si>
  <si>
    <t>position_end_dy_crp</t>
  </si>
  <si>
    <t>CRPからのY方向相対位置（終点）</t>
    <rPh sb="7" eb="9">
      <t>ホウコウ</t>
    </rPh>
    <rPh sb="9" eb="13">
      <t>ソウタイイチ</t>
    </rPh>
    <phoneticPr fontId="1"/>
  </si>
  <si>
    <t>position_end_dh_crp</t>
  </si>
  <si>
    <t>CRPからの高さ方向相対位置（終点）</t>
    <rPh sb="6" eb="7">
      <t>タカ</t>
    </rPh>
    <rPh sb="8" eb="10">
      <t>ホウコウ</t>
    </rPh>
    <rPh sb="10" eb="14">
      <t>ソウタイイチ</t>
    </rPh>
    <phoneticPr fontId="1"/>
  </si>
  <si>
    <t>position_end_lane_count</t>
  </si>
  <si>
    <t>レーン数（終点）</t>
    <rPh sb="3" eb="4">
      <t>スウ</t>
    </rPh>
    <phoneticPr fontId="1"/>
  </si>
  <si>
    <t>position_end_lane_position</t>
  </si>
  <si>
    <t>レーン番号（終点）</t>
    <rPh sb="3" eb="5">
      <t>バンゴウ</t>
    </rPh>
    <phoneticPr fontId="1"/>
  </si>
  <si>
    <t>position_end_lane_lateral_position</t>
  </si>
  <si>
    <t>レーン内横方向位置（終点）</t>
    <rPh sb="3" eb="4">
      <t>ナイ</t>
    </rPh>
    <rPh sb="4" eb="9">
      <t>ヨコホウコウイチ</t>
    </rPh>
    <phoneticPr fontId="1"/>
  </si>
  <si>
    <t>position_end_crp_id_begin</t>
  </si>
  <si>
    <t>始点CRP ID（終点）</t>
    <rPh sb="0" eb="2">
      <t>シテン</t>
    </rPh>
    <phoneticPr fontId="1"/>
  </si>
  <si>
    <t>position_end_crp_id_end</t>
  </si>
  <si>
    <t>終点CRP ID（終点）</t>
    <rPh sb="0" eb="2">
      <t>シュウテン</t>
    </rPh>
    <phoneticPr fontId="1"/>
  </si>
  <si>
    <t>position_end_lane_vertical_position</t>
  </si>
  <si>
    <t>縦方向位置（終点）</t>
    <rPh sb="0" eb="3">
      <t>タテホウコウ</t>
    </rPh>
    <rPh sb="3" eb="5">
      <t>イチ</t>
    </rPh>
    <phoneticPr fontId="1"/>
  </si>
  <si>
    <t>position_end_lane_id</t>
  </si>
  <si>
    <t>レーンID（終点）</t>
  </si>
  <si>
    <t>position_end_dx_lane</t>
  </si>
  <si>
    <t>レーン基準位置からのX方向相対位置（終点）</t>
    <rPh sb="3" eb="5">
      <t>キジュン</t>
    </rPh>
    <rPh sb="5" eb="7">
      <t>イチ</t>
    </rPh>
    <rPh sb="11" eb="13">
      <t>ホウコウ</t>
    </rPh>
    <rPh sb="13" eb="17">
      <t>ソウタイイチ</t>
    </rPh>
    <phoneticPr fontId="1"/>
  </si>
  <si>
    <t>position_end_dy_lane</t>
  </si>
  <si>
    <t>レーン基準位置からのY方向相対位置（終点）</t>
    <rPh sb="3" eb="5">
      <t>キジュン</t>
    </rPh>
    <rPh sb="5" eb="7">
      <t>イチ</t>
    </rPh>
    <rPh sb="11" eb="13">
      <t>ホウコウ</t>
    </rPh>
    <rPh sb="13" eb="17">
      <t>ソウタイイチ</t>
    </rPh>
    <phoneticPr fontId="1"/>
  </si>
  <si>
    <t>position_end_dh_lane</t>
  </si>
  <si>
    <t>レーン基準位置からの高さ方向相対位置（終点）</t>
    <rPh sb="3" eb="5">
      <t>キジュン</t>
    </rPh>
    <rPh sb="5" eb="7">
      <t>イチ</t>
    </rPh>
    <rPh sb="10" eb="11">
      <t>タカ</t>
    </rPh>
    <rPh sb="12" eb="14">
      <t>ホウコウ</t>
    </rPh>
    <rPh sb="14" eb="18">
      <t>ソウタイイチ</t>
    </rPh>
    <phoneticPr fontId="1"/>
  </si>
  <si>
    <t>position_end_semi_axis_length_major</t>
  </si>
  <si>
    <t>水平方向位置精度楕円長半径（終点）</t>
    <rPh sb="0" eb="4">
      <t>スイヘイホウコウ</t>
    </rPh>
    <rPh sb="4" eb="8">
      <t>イチセイド</t>
    </rPh>
    <rPh sb="8" eb="10">
      <t>ダエン</t>
    </rPh>
    <rPh sb="10" eb="11">
      <t>チョウ</t>
    </rPh>
    <rPh sb="11" eb="13">
      <t>ハンケイ</t>
    </rPh>
    <phoneticPr fontId="1"/>
  </si>
  <si>
    <t>position_end_semi_axis_length_minor</t>
  </si>
  <si>
    <t>水平方向位置精度楕円短半径（終点）</t>
    <rPh sb="0" eb="4">
      <t>スイヘイホウコウ</t>
    </rPh>
    <rPh sb="4" eb="8">
      <t>イチセイド</t>
    </rPh>
    <rPh sb="8" eb="10">
      <t>ダエン</t>
    </rPh>
    <rPh sb="10" eb="11">
      <t>ミジカ</t>
    </rPh>
    <rPh sb="11" eb="13">
      <t>ハンケイ</t>
    </rPh>
    <phoneticPr fontId="1"/>
  </si>
  <si>
    <t>position_end_ellipse_orientation</t>
  </si>
  <si>
    <t>水平方向位置精度楕円角（終点）</t>
    <rPh sb="0" eb="4">
      <t>スイヘイホウコウ</t>
    </rPh>
    <rPh sb="4" eb="8">
      <t>イチセイド</t>
    </rPh>
    <rPh sb="8" eb="10">
      <t>ダエン</t>
    </rPh>
    <rPh sb="10" eb="11">
      <t>カク</t>
    </rPh>
    <phoneticPr fontId="1"/>
  </si>
  <si>
    <t>position_end_altitude_accuracy</t>
  </si>
  <si>
    <t>高さ精度（終点）</t>
    <rPh sb="0" eb="1">
      <t>タカ</t>
    </rPh>
    <rPh sb="2" eb="4">
      <t>セイド</t>
    </rPh>
    <phoneticPr fontId="1"/>
  </si>
  <si>
    <t>id_begin</t>
  </si>
  <si>
    <t>id_end</t>
  </si>
  <si>
    <t>minimal_detectable_size</t>
  </si>
  <si>
    <t>空間参照系（基準）</t>
  </si>
  <si>
    <t>緯度（基準）</t>
  </si>
  <si>
    <t>経度（基準）</t>
  </si>
  <si>
    <t>標高（基準）</t>
  </si>
  <si>
    <t>X座標（基準）</t>
  </si>
  <si>
    <t>Y座標（基準）</t>
  </si>
  <si>
    <t>CRP ID（基準）</t>
  </si>
  <si>
    <t>CRPからのX方向相対位置（基準）</t>
  </si>
  <si>
    <t>CRPからのY方向相対位置（基準）</t>
  </si>
  <si>
    <t>CRPからの高さ方向相対位置（基準）</t>
  </si>
  <si>
    <t>レーン数（基準）</t>
  </si>
  <si>
    <t>レーン番号（基準）</t>
  </si>
  <si>
    <t>レーン内横方向位置（基準）</t>
  </si>
  <si>
    <t>始点CRP ID（基準）</t>
  </si>
  <si>
    <t>終点CRP ID（基準）</t>
  </si>
  <si>
    <t>縦方向位置（基準）</t>
  </si>
  <si>
    <t>レーンID（基準）</t>
  </si>
  <si>
    <t>レーン基準位置からのX方向相対位置（基準）</t>
  </si>
  <si>
    <t>レーン基準位置からのY方向相対位置（基準）</t>
  </si>
  <si>
    <t>レーン基準位置からの高さ方向相対位置（基準）</t>
  </si>
  <si>
    <t>水平方向位置精度楕円長半径（基準）</t>
  </si>
  <si>
    <t>水平方向位置精度楕円短半径（基準）</t>
  </si>
  <si>
    <t>水平方向位置精度楕円角（基準）</t>
  </si>
  <si>
    <t>高さ精度（基準）</t>
  </si>
  <si>
    <t>空間参照系（始点）</t>
  </si>
  <si>
    <t>緯度（始点）</t>
  </si>
  <si>
    <t>経度（始点）</t>
  </si>
  <si>
    <t>標高（始点）</t>
  </si>
  <si>
    <t>X座標（始点）</t>
  </si>
  <si>
    <t>Y座標（始点）</t>
  </si>
  <si>
    <t>CRP ID（始点）</t>
  </si>
  <si>
    <t>CRPからのX方向相対位置（始点）</t>
    <rPh sb="7" eb="9">
      <t>ホウコウ</t>
    </rPh>
    <rPh sb="9" eb="13">
      <t>ソウタイイチ</t>
    </rPh>
    <phoneticPr fontId="1"/>
  </si>
  <si>
    <t>CRPからのY方向相対位置（始点）</t>
    <rPh sb="7" eb="9">
      <t>ホウコウ</t>
    </rPh>
    <rPh sb="9" eb="13">
      <t>ソウタイイチ</t>
    </rPh>
    <phoneticPr fontId="1"/>
  </si>
  <si>
    <t>CRPからの高さ方向相対位置（始点）</t>
    <rPh sb="6" eb="7">
      <t>タカ</t>
    </rPh>
    <rPh sb="8" eb="10">
      <t>ホウコウ</t>
    </rPh>
    <rPh sb="10" eb="14">
      <t>ソウタイイチ</t>
    </rPh>
    <phoneticPr fontId="1"/>
  </si>
  <si>
    <t>レーン数（始点）</t>
    <rPh sb="3" eb="4">
      <t>スウ</t>
    </rPh>
    <phoneticPr fontId="1"/>
  </si>
  <si>
    <t>レーン番号（始点）</t>
    <rPh sb="3" eb="5">
      <t>バンゴウ</t>
    </rPh>
    <phoneticPr fontId="1"/>
  </si>
  <si>
    <t>レーン内横方向位置（始点）</t>
    <rPh sb="3" eb="4">
      <t>ナイ</t>
    </rPh>
    <rPh sb="4" eb="9">
      <t>ヨコホウコウイチ</t>
    </rPh>
    <phoneticPr fontId="1"/>
  </si>
  <si>
    <t>始点CRP ID（始点）</t>
    <rPh sb="0" eb="2">
      <t>シテン</t>
    </rPh>
    <phoneticPr fontId="1"/>
  </si>
  <si>
    <t>終点CRP ID（始点）</t>
    <rPh sb="0" eb="2">
      <t>シュウテン</t>
    </rPh>
    <phoneticPr fontId="1"/>
  </si>
  <si>
    <t>縦方向位置（始点）</t>
    <rPh sb="0" eb="3">
      <t>タテホウコウ</t>
    </rPh>
    <rPh sb="3" eb="5">
      <t>イチ</t>
    </rPh>
    <phoneticPr fontId="1"/>
  </si>
  <si>
    <t>レーンID（始点）</t>
  </si>
  <si>
    <t>レーン基準位置からのX方向相対位置（始点）</t>
    <rPh sb="3" eb="5">
      <t>キジュン</t>
    </rPh>
    <rPh sb="5" eb="7">
      <t>イチ</t>
    </rPh>
    <rPh sb="11" eb="13">
      <t>ホウコウ</t>
    </rPh>
    <rPh sb="13" eb="17">
      <t>ソウタイイチ</t>
    </rPh>
    <phoneticPr fontId="1"/>
  </si>
  <si>
    <t>レーン基準位置からのY方向相対位置（始点）</t>
    <rPh sb="3" eb="5">
      <t>キジュン</t>
    </rPh>
    <rPh sb="5" eb="7">
      <t>イチ</t>
    </rPh>
    <rPh sb="11" eb="13">
      <t>ホウコウ</t>
    </rPh>
    <rPh sb="13" eb="17">
      <t>ソウタイイチ</t>
    </rPh>
    <phoneticPr fontId="1"/>
  </si>
  <si>
    <t>レーン基準位置からの高さ方向相対位置（始点）</t>
    <rPh sb="3" eb="5">
      <t>キジュン</t>
    </rPh>
    <rPh sb="5" eb="7">
      <t>イチ</t>
    </rPh>
    <rPh sb="10" eb="11">
      <t>タカ</t>
    </rPh>
    <rPh sb="12" eb="14">
      <t>ホウコウ</t>
    </rPh>
    <rPh sb="14" eb="18">
      <t>ソウタイイチ</t>
    </rPh>
    <phoneticPr fontId="1"/>
  </si>
  <si>
    <t>水平方向位置精度楕円長半径（始点）</t>
    <rPh sb="0" eb="4">
      <t>スイヘイホウコウ</t>
    </rPh>
    <rPh sb="4" eb="8">
      <t>イチセイド</t>
    </rPh>
    <rPh sb="8" eb="10">
      <t>ダエン</t>
    </rPh>
    <rPh sb="10" eb="11">
      <t>チョウ</t>
    </rPh>
    <rPh sb="11" eb="13">
      <t>ハンケイ</t>
    </rPh>
    <phoneticPr fontId="1"/>
  </si>
  <si>
    <t>水平方向位置精度楕円短半径（始点）</t>
    <rPh sb="0" eb="4">
      <t>スイヘイホウコウ</t>
    </rPh>
    <rPh sb="4" eb="8">
      <t>イチセイド</t>
    </rPh>
    <rPh sb="8" eb="10">
      <t>ダエン</t>
    </rPh>
    <rPh sb="10" eb="11">
      <t>ミジカ</t>
    </rPh>
    <rPh sb="11" eb="13">
      <t>ハンケイ</t>
    </rPh>
    <phoneticPr fontId="1"/>
  </si>
  <si>
    <t>水平方向位置精度楕円角（始点）</t>
    <rPh sb="0" eb="4">
      <t>スイヘイホウコウ</t>
    </rPh>
    <rPh sb="4" eb="8">
      <t>イチセイド</t>
    </rPh>
    <rPh sb="8" eb="10">
      <t>ダエン</t>
    </rPh>
    <rPh sb="10" eb="11">
      <t>カク</t>
    </rPh>
    <phoneticPr fontId="1"/>
  </si>
  <si>
    <t>高さ精度（始点）</t>
    <rPh sb="0" eb="1">
      <t>タカ</t>
    </rPh>
    <rPh sb="2" eb="4">
      <t>セイド</t>
    </rPh>
    <phoneticPr fontId="1"/>
  </si>
  <si>
    <t>vertices_dxdy_list_size</t>
    <phoneticPr fontId="1"/>
  </si>
  <si>
    <t>フリースペース情報2</t>
    <rPh sb="7" eb="9">
      <t>ジョウホウ</t>
    </rPh>
    <phoneticPr fontId="1"/>
  </si>
  <si>
    <t>data-size</t>
    <phoneticPr fontId="1"/>
  </si>
  <si>
    <t>header -size</t>
    <phoneticPr fontId="1"/>
  </si>
  <si>
    <t>data-max-num</t>
    <phoneticPr fontId="1"/>
  </si>
  <si>
    <t>total-size</t>
    <phoneticPr fontId="1"/>
  </si>
  <si>
    <t>以下、始点位置</t>
    <rPh sb="0" eb="2">
      <t>イカ</t>
    </rPh>
    <rPh sb="3" eb="5">
      <t>シテン</t>
    </rPh>
    <rPh sb="5" eb="7">
      <t>イチ</t>
    </rPh>
    <phoneticPr fontId="1"/>
  </si>
  <si>
    <t>以下、終点位置</t>
    <rPh sb="0" eb="2">
      <t>イカ</t>
    </rPh>
    <rPh sb="3" eb="5">
      <t>シュウテン</t>
    </rPh>
    <rPh sb="5" eb="7">
      <t>イチ</t>
    </rPh>
    <phoneticPr fontId="1"/>
  </si>
  <si>
    <t>以下、フリースペースの頂点の基準位置</t>
    <rPh sb="0" eb="2">
      <t>イカ</t>
    </rPh>
    <rPh sb="11" eb="13">
      <t>チョウテン</t>
    </rPh>
    <rPh sb="14" eb="16">
      <t>キジュン</t>
    </rPh>
    <rPh sb="16" eb="18">
      <t>イチ</t>
    </rPh>
    <phoneticPr fontId="1"/>
  </si>
  <si>
    <t>light_info_main_0</t>
  </si>
  <si>
    <t>light_info_arrow_0</t>
  </si>
  <si>
    <t>light_info_min_time_to_change_0</t>
  </si>
  <si>
    <t>light_info_max_time_to_change_0</t>
  </si>
  <si>
    <t>light_info_main_1</t>
  </si>
  <si>
    <t>light_info_arrow_1</t>
  </si>
  <si>
    <t>light_info_min_time_to_change_1</t>
  </si>
  <si>
    <t>light_info_max_time_to_change_1</t>
  </si>
  <si>
    <t>light_info_main_2</t>
  </si>
  <si>
    <t>light_info_arrow_2</t>
  </si>
  <si>
    <t>light_info_min_time_to_change_2</t>
  </si>
  <si>
    <t>light_info_max_time_to_change_2</t>
  </si>
  <si>
    <t>light_info_main_3</t>
  </si>
  <si>
    <t>light_info_arrow_3</t>
  </si>
  <si>
    <t>light_info_min_time_to_change_3</t>
  </si>
  <si>
    <t>light_info_max_time_to_change_3</t>
  </si>
  <si>
    <t>light_info_main_4</t>
  </si>
  <si>
    <t>light_info_arrow_4</t>
  </si>
  <si>
    <t>light_info_min_time_to_change_4</t>
  </si>
  <si>
    <t>light_info_max_time_to_change_4</t>
  </si>
  <si>
    <t>light_info_main_5</t>
  </si>
  <si>
    <t>light_info_arrow_5</t>
  </si>
  <si>
    <t>light_info_min_time_to_change_5</t>
  </si>
  <si>
    <t>light_info_max_time_to_change_5</t>
  </si>
  <si>
    <t>light_info_main_6</t>
  </si>
  <si>
    <t>light_info_arrow_6</t>
  </si>
  <si>
    <t>light_info_min_time_to_change_6</t>
  </si>
  <si>
    <t>light_info_max_time_to_change_6</t>
  </si>
  <si>
    <t>light_info_main_7</t>
  </si>
  <si>
    <t>light_info_arrow_7</t>
  </si>
  <si>
    <t>light_info_min_time_to_change_7</t>
  </si>
  <si>
    <t>light_info_max_time_to_change_7</t>
  </si>
  <si>
    <t>light_info_main_8</t>
  </si>
  <si>
    <t>light_info_arrow_8</t>
  </si>
  <si>
    <t>light_info_min_time_to_change_8</t>
  </si>
  <si>
    <t>light_info_max_time_to_change_8</t>
  </si>
  <si>
    <t>light_info_main_9</t>
  </si>
  <si>
    <t>light_info_arrow_9</t>
  </si>
  <si>
    <t>light_info_min_time_to_change_9</t>
  </si>
  <si>
    <t>light_info_max_time_to_change_9</t>
  </si>
  <si>
    <t>light_info_main_10</t>
  </si>
  <si>
    <t>light_info_arrow_10</t>
  </si>
  <si>
    <t>light_info_min_time_to_change_10</t>
  </si>
  <si>
    <t>light_info_max_time_to_change_10</t>
  </si>
  <si>
    <t>light_info_main_11</t>
  </si>
  <si>
    <t>light_info_arrow_11</t>
  </si>
  <si>
    <t>light_info_min_time_to_change_11</t>
  </si>
  <si>
    <t>light_info_max_time_to_change_11</t>
  </si>
  <si>
    <t>state</t>
  </si>
  <si>
    <t>specific_control_flags</t>
  </si>
  <si>
    <t>event_count</t>
  </si>
  <si>
    <t>count_down_stop_flag</t>
  </si>
  <si>
    <t>signal_id_1</t>
    <phoneticPr fontId="1"/>
  </si>
  <si>
    <t>signal_id_0</t>
    <phoneticPr fontId="1"/>
  </si>
  <si>
    <t>signal_id_2</t>
  </si>
  <si>
    <t>signal_id_3</t>
  </si>
  <si>
    <t>signal_id_4</t>
  </si>
  <si>
    <t>signal_id_5</t>
  </si>
  <si>
    <t>signal_id_6</t>
  </si>
  <si>
    <t>signal_id_7</t>
  </si>
  <si>
    <t>geodetic_srid</t>
  </si>
  <si>
    <t>空間参照系</t>
    <rPh sb="0" eb="2">
      <t>クウカン</t>
    </rPh>
    <rPh sb="2" eb="4">
      <t>サンショウ</t>
    </rPh>
    <rPh sb="4" eb="5">
      <t>ケイ</t>
    </rPh>
    <phoneticPr fontId="1"/>
  </si>
  <si>
    <t>projective_srid</t>
  </si>
  <si>
    <t>prc_x</t>
  </si>
  <si>
    <t>X座標</t>
    <rPh sb="1" eb="3">
      <t>ザヒョウ</t>
    </rPh>
    <phoneticPr fontId="1"/>
  </si>
  <si>
    <t>Y座標</t>
    <rPh sb="1" eb="3">
      <t>ザヒョウ</t>
    </rPh>
    <phoneticPr fontId="1"/>
  </si>
  <si>
    <t>CRPからのX方向相対位置</t>
    <rPh sb="7" eb="9">
      <t>ホウコウ</t>
    </rPh>
    <rPh sb="9" eb="13">
      <t>ソウタイイチ</t>
    </rPh>
    <phoneticPr fontId="1"/>
  </si>
  <si>
    <t>CRPからのY方向相対位置</t>
    <rPh sb="7" eb="9">
      <t>ホウコウ</t>
    </rPh>
    <rPh sb="9" eb="13">
      <t>ソウタイイチ</t>
    </rPh>
    <phoneticPr fontId="1"/>
  </si>
  <si>
    <t>CRPからの高さ方向相対位置</t>
    <rPh sb="6" eb="7">
      <t>タカ</t>
    </rPh>
    <rPh sb="8" eb="10">
      <t>ホウコウ</t>
    </rPh>
    <rPh sb="10" eb="14">
      <t>ソウタイイチ</t>
    </rPh>
    <phoneticPr fontId="1"/>
  </si>
  <si>
    <t>レーン内横方向位置</t>
    <rPh sb="3" eb="4">
      <t>ナイ</t>
    </rPh>
    <rPh sb="4" eb="9">
      <t>ヨコホウコウイチ</t>
    </rPh>
    <phoneticPr fontId="1"/>
  </si>
  <si>
    <t>縦方向位置</t>
    <rPh sb="0" eb="3">
      <t>タテホウコウ</t>
    </rPh>
    <rPh sb="3" eb="5">
      <t>イチ</t>
    </rPh>
    <phoneticPr fontId="1"/>
  </si>
  <si>
    <t>レーン基準位置からのX方向相対位置</t>
    <rPh sb="3" eb="5">
      <t>キジュン</t>
    </rPh>
    <rPh sb="5" eb="7">
      <t>イチ</t>
    </rPh>
    <rPh sb="11" eb="13">
      <t>ホウコウ</t>
    </rPh>
    <rPh sb="13" eb="17">
      <t>ソウタイイチ</t>
    </rPh>
    <phoneticPr fontId="1"/>
  </si>
  <si>
    <t>レーン基準位置からのY方向相対位置</t>
    <rPh sb="3" eb="5">
      <t>キジュン</t>
    </rPh>
    <rPh sb="5" eb="7">
      <t>イチ</t>
    </rPh>
    <rPh sb="11" eb="13">
      <t>ホウコウ</t>
    </rPh>
    <rPh sb="13" eb="17">
      <t>ソウタイイチ</t>
    </rPh>
    <phoneticPr fontId="1"/>
  </si>
  <si>
    <t>レーン基準位置からの高さ方向相対位置</t>
    <rPh sb="3" eb="5">
      <t>キジュン</t>
    </rPh>
    <rPh sb="5" eb="7">
      <t>イチ</t>
    </rPh>
    <rPh sb="10" eb="11">
      <t>タカ</t>
    </rPh>
    <rPh sb="12" eb="14">
      <t>ホウコウ</t>
    </rPh>
    <rPh sb="14" eb="18">
      <t>ソウタイイチ</t>
    </rPh>
    <phoneticPr fontId="1"/>
  </si>
  <si>
    <t>水平方向位置精度楕円短半径</t>
    <rPh sb="0" eb="4">
      <t>スイヘイホウコウ</t>
    </rPh>
    <rPh sb="4" eb="8">
      <t>イチセイド</t>
    </rPh>
    <rPh sb="8" eb="10">
      <t>ダエン</t>
    </rPh>
    <rPh sb="10" eb="11">
      <t>ミジカ</t>
    </rPh>
    <rPh sb="11" eb="13">
      <t>ハンケイ</t>
    </rPh>
    <phoneticPr fontId="1"/>
  </si>
  <si>
    <t>水平方向位置精度楕円角</t>
    <rPh sb="0" eb="4">
      <t>スイヘイホウコウ</t>
    </rPh>
    <rPh sb="4" eb="8">
      <t>イチセイド</t>
    </rPh>
    <rPh sb="8" eb="10">
      <t>ダエン</t>
    </rPh>
    <rPh sb="10" eb="11">
      <t>カク</t>
    </rPh>
    <phoneticPr fontId="1"/>
  </si>
  <si>
    <t>以下、センサー設置位置</t>
    <rPh sb="0" eb="2">
      <t>イカ</t>
    </rPh>
    <rPh sb="7" eb="11">
      <t>セッチイチ</t>
    </rPh>
    <phoneticPr fontId="1"/>
  </si>
  <si>
    <t>time</t>
    <phoneticPr fontId="1"/>
  </si>
  <si>
    <t>detectable_classes_0</t>
    <phoneticPr fontId="1"/>
  </si>
  <si>
    <t>detectable_domain_x_list_0</t>
    <phoneticPr fontId="1"/>
  </si>
  <si>
    <t>detectable_domain_y_list_0</t>
  </si>
  <si>
    <t>confidence_0</t>
    <phoneticPr fontId="1"/>
  </si>
  <si>
    <t>minimal_detectable_size_0</t>
    <phoneticPr fontId="1"/>
  </si>
  <si>
    <t>detectable_classes_1</t>
  </si>
  <si>
    <t>detectable_domain_x_list_1</t>
  </si>
  <si>
    <t>detectable_domain_y_list_1</t>
  </si>
  <si>
    <t>confidence_1</t>
  </si>
  <si>
    <t>minimal_detectable_size_1</t>
  </si>
  <si>
    <t>detectable_classes_2</t>
  </si>
  <si>
    <t>detectable_domain_x_list_2</t>
  </si>
  <si>
    <t>detectable_domain_y_list_2</t>
  </si>
  <si>
    <t>confidence_2</t>
  </si>
  <si>
    <t>minimal_detectable_size_2</t>
  </si>
  <si>
    <t>detectable_classes_3</t>
  </si>
  <si>
    <t>detectable_domain_y_list_3</t>
  </si>
  <si>
    <t>confidence_3</t>
  </si>
  <si>
    <t>minimal_detectable_size_3</t>
  </si>
  <si>
    <t>detectable_classes_4</t>
  </si>
  <si>
    <t>detectable_domain_x_list_4</t>
  </si>
  <si>
    <t>detectable_domain_y_list_4</t>
  </si>
  <si>
    <t>confidence_4</t>
  </si>
  <si>
    <t>minimal_detectable_size_4</t>
  </si>
  <si>
    <t>detectable_classes_5</t>
  </si>
  <si>
    <t>detectable_domain_x_list_5</t>
  </si>
  <si>
    <t>detectable_domain_y_list_5</t>
  </si>
  <si>
    <t>confidence_5</t>
  </si>
  <si>
    <t>minimal_detectable_size_5</t>
  </si>
  <si>
    <t>detectable_classes_6</t>
  </si>
  <si>
    <t>detectable_domain_x_list_6</t>
  </si>
  <si>
    <t>detectable_domain_y_list_6</t>
  </si>
  <si>
    <t>confidence_6</t>
  </si>
  <si>
    <t>minimal_detectable_size_6</t>
  </si>
  <si>
    <t>detectable_classes_7</t>
  </si>
  <si>
    <t>detectable_domain_x_list_7</t>
  </si>
  <si>
    <t>detectable_domain_y_list_7</t>
  </si>
  <si>
    <t>confidence_7</t>
  </si>
  <si>
    <t>minimal_detectable_size_7</t>
  </si>
  <si>
    <t>sensor_status</t>
    <phoneticPr fontId="1"/>
  </si>
  <si>
    <t>検知領域ポリゴン頂点ｘ座標リスト[1]</t>
    <rPh sb="0" eb="2">
      <t>ケンチ</t>
    </rPh>
    <rPh sb="2" eb="4">
      <t>リョウイキ</t>
    </rPh>
    <rPh sb="8" eb="10">
      <t>チョウテン</t>
    </rPh>
    <rPh sb="11" eb="13">
      <t>ザヒョウ</t>
    </rPh>
    <phoneticPr fontId="1"/>
  </si>
  <si>
    <t>検知領域ポリゴン頂点ｙ座標リスト[1]</t>
    <rPh sb="0" eb="2">
      <t>ケンチ</t>
    </rPh>
    <rPh sb="2" eb="4">
      <t>リョウイキ</t>
    </rPh>
    <rPh sb="8" eb="10">
      <t>チョウテン</t>
    </rPh>
    <rPh sb="11" eb="13">
      <t>ザヒョウ</t>
    </rPh>
    <phoneticPr fontId="1"/>
  </si>
  <si>
    <t>検知領域の信頼度[1]</t>
    <rPh sb="0" eb="2">
      <t>ケンチ</t>
    </rPh>
    <rPh sb="2" eb="4">
      <t>リョウイキ</t>
    </rPh>
    <rPh sb="5" eb="8">
      <t>シンライド</t>
    </rPh>
    <phoneticPr fontId="1"/>
  </si>
  <si>
    <t>最小検知可能物標サイズ[1]</t>
    <rPh sb="0" eb="6">
      <t>サイショウケンチカノウ</t>
    </rPh>
    <rPh sb="6" eb="8">
      <t>ブツヒョウ</t>
    </rPh>
    <phoneticPr fontId="1"/>
  </si>
  <si>
    <t>センサー情報1/検知性能情報2</t>
    <rPh sb="4" eb="6">
      <t>ジョウホウ</t>
    </rPh>
    <rPh sb="8" eb="10">
      <t>ケンチ</t>
    </rPh>
    <rPh sb="10" eb="14">
      <t>セイノウジョウホウ</t>
    </rPh>
    <phoneticPr fontId="1"/>
  </si>
  <si>
    <t>detectable_information_size</t>
    <phoneticPr fontId="1"/>
  </si>
  <si>
    <t>detectable_classes_xy_list_size_0</t>
    <phoneticPr fontId="1"/>
  </si>
  <si>
    <t>detectable_classes_xy_list_size_1</t>
  </si>
  <si>
    <t>detectable_classes_xy_list_size_2</t>
  </si>
  <si>
    <t>detectable_classes_xy_list_size_3</t>
  </si>
  <si>
    <t>detectable_domain_x_list_3</t>
  </si>
  <si>
    <t>detectable_classes_xy_list_size_4</t>
  </si>
  <si>
    <t>detectable_classes_xy_list_size_5</t>
  </si>
  <si>
    <t>detectable_classes_xy_list_size_6</t>
  </si>
  <si>
    <t>detectable_classes_xy_list_size_7</t>
  </si>
  <si>
    <t>検知可能物標種別[2]</t>
  </si>
  <si>
    <t>検知領域ポリゴン頂点数L[2][(1≦L≦16)]</t>
  </si>
  <si>
    <t>検知領域ポリゴン頂点ｘ座標リスト[2]</t>
  </si>
  <si>
    <t>検知領域ポリゴン頂点ｙ座標リスト[2]</t>
  </si>
  <si>
    <t>検知領域の信頼度[2]</t>
  </si>
  <si>
    <t>最小検知可能物標サイズ[2]</t>
  </si>
  <si>
    <t>検知可能物標種別[3]</t>
  </si>
  <si>
    <t>検知領域ポリゴン頂点数L[3][(1≦L≦16)]</t>
  </si>
  <si>
    <t>検知領域ポリゴン頂点ｘ座標リスト[3]</t>
  </si>
  <si>
    <t>検知領域ポリゴン頂点ｙ座標リスト[3]</t>
  </si>
  <si>
    <t>検知領域の信頼度[3]</t>
  </si>
  <si>
    <t>最小検知可能物標サイズ[3]</t>
  </si>
  <si>
    <t>検知可能物標種別[4]</t>
  </si>
  <si>
    <t>検知領域ポリゴン頂点数L[4][(1≦L≦16)]</t>
  </si>
  <si>
    <t>検知領域ポリゴン頂点ｘ座標リスト[4]</t>
  </si>
  <si>
    <t>検知領域ポリゴン頂点ｙ座標リスト[4]</t>
  </si>
  <si>
    <t>検知領域の信頼度[4]</t>
  </si>
  <si>
    <t>最小検知可能物標サイズ[4]</t>
  </si>
  <si>
    <t>検知可能物標種別[5]</t>
  </si>
  <si>
    <t>検知領域ポリゴン頂点数L[5][(1≦L≦16)]</t>
  </si>
  <si>
    <t>検知領域ポリゴン頂点ｘ座標リスト[5]</t>
  </si>
  <si>
    <t>検知領域ポリゴン頂点ｙ座標リスト[5]</t>
  </si>
  <si>
    <t>検知領域の信頼度[5]</t>
  </si>
  <si>
    <t>最小検知可能物標サイズ[5]</t>
  </si>
  <si>
    <t>検知可能物標種別[6]</t>
  </si>
  <si>
    <t>検知領域ポリゴン頂点数L[6][(1≦L≦16)]</t>
  </si>
  <si>
    <t>検知領域ポリゴン頂点ｘ座標リスト[6]</t>
  </si>
  <si>
    <t>検知領域ポリゴン頂点ｙ座標リスト[6]</t>
  </si>
  <si>
    <t>検知領域の信頼度[6]</t>
  </si>
  <si>
    <t>最小検知可能物標サイズ[6]</t>
  </si>
  <si>
    <t>検知可能物標種別[7]</t>
  </si>
  <si>
    <t>検知領域ポリゴン頂点数L[7][(1≦L≦16)]</t>
  </si>
  <si>
    <t>検知領域ポリゴン頂点ｘ座標リスト[7]</t>
  </si>
  <si>
    <t>検知領域ポリゴン頂点ｙ座標リスト[7]</t>
  </si>
  <si>
    <t>検知領域の信頼度[7]</t>
  </si>
  <si>
    <t>最小検知可能物標サイズ[7]</t>
  </si>
  <si>
    <t>検知可能物標種別[8]</t>
  </si>
  <si>
    <t>検知領域ポリゴン頂点数L[8][(1≦L≦16)]</t>
  </si>
  <si>
    <t>検知領域ポリゴン頂点ｘ座標リスト[8]</t>
  </si>
  <si>
    <t>検知領域ポリゴン頂点ｙ座標リスト[8]</t>
  </si>
  <si>
    <t>検知領域の信頼度[8]</t>
  </si>
  <si>
    <t>最小検知可能物標サイズ[8]</t>
  </si>
  <si>
    <t>センサー情報1/検知性能情報3</t>
    <rPh sb="4" eb="6">
      <t>ジョウホウ</t>
    </rPh>
    <rPh sb="8" eb="10">
      <t>ケンチ</t>
    </rPh>
    <rPh sb="10" eb="14">
      <t>セイノウジョウホウ</t>
    </rPh>
    <phoneticPr fontId="1"/>
  </si>
  <si>
    <t>センサー情報1/検知性能情報4</t>
    <rPh sb="4" eb="6">
      <t>ジョウホウ</t>
    </rPh>
    <rPh sb="8" eb="10">
      <t>ケンチ</t>
    </rPh>
    <rPh sb="10" eb="14">
      <t>セイノウジョウホウ</t>
    </rPh>
    <phoneticPr fontId="1"/>
  </si>
  <si>
    <t>センサー情報1/検知性能情報5</t>
    <rPh sb="4" eb="6">
      <t>ジョウホウ</t>
    </rPh>
    <rPh sb="8" eb="10">
      <t>ケンチ</t>
    </rPh>
    <rPh sb="10" eb="14">
      <t>セイノウジョウホウ</t>
    </rPh>
    <phoneticPr fontId="1"/>
  </si>
  <si>
    <t>センサー情報1/検知性能情報6</t>
    <rPh sb="4" eb="6">
      <t>ジョウホウ</t>
    </rPh>
    <rPh sb="8" eb="10">
      <t>ケンチ</t>
    </rPh>
    <rPh sb="10" eb="14">
      <t>セイノウジョウホウ</t>
    </rPh>
    <phoneticPr fontId="1"/>
  </si>
  <si>
    <t>センサー情報1/検知性能情報7</t>
    <rPh sb="4" eb="6">
      <t>ジョウホウ</t>
    </rPh>
    <rPh sb="8" eb="10">
      <t>ケンチ</t>
    </rPh>
    <rPh sb="10" eb="14">
      <t>セイノウジョウホウ</t>
    </rPh>
    <phoneticPr fontId="1"/>
  </si>
  <si>
    <t>センサー情報1/検知性能情報8</t>
    <rPh sb="4" eb="6">
      <t>ジョウホウ</t>
    </rPh>
    <rPh sb="8" eb="10">
      <t>ケンチ</t>
    </rPh>
    <rPh sb="10" eb="14">
      <t>セイノウジョウホウ</t>
    </rPh>
    <phoneticPr fontId="1"/>
  </si>
  <si>
    <t>unit_id</t>
    <phoneticPr fontId="1"/>
  </si>
  <si>
    <t>sensor_id</t>
    <phoneticPr fontId="1"/>
  </si>
  <si>
    <t>sensor_type</t>
    <phoneticPr fontId="1"/>
  </si>
  <si>
    <t>メッセージに含まれるセンサー情報の数</t>
    <rPh sb="6" eb="7">
      <t>フク</t>
    </rPh>
    <rPh sb="14" eb="16">
      <t>ジョウホウ</t>
    </rPh>
    <rPh sb="17" eb="18">
      <t>カズ</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</si>
</sst>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9"/>
      <color theme="1"/>
      <name val="Meiryo UI"/>
      <family val="2"/>
      <charset val="128"/>
    </font>
    <font>
      <sz val="6"/>
      <name val="Meiryo UI"/>
      <family val="2"/>
      <charset val="128"/>
    </font>
    <font>
      <sz val="9"/>
      <color rgb="FFFF0000"/>
      <name val="Meiryo UI"/>
      <family val="2"/>
      <charset val="128"/>
    </font>
    <font>
      <sz val="9"/>
      <name val="Meiryo UI"/>
      <family val="3"/>
      <charset val="128"/>
    </font>
    <font>
      <sz val="10"/>
      <name val="Meiryo UI"/>
      <family val="3"/>
      <charset val="128"/>
    </font>
    <font>
      <sz val="9"/>
      <name val="Meiryo UI"/>
      <family val="2"/>
      <charset val="128"/>
    </font>
    <font>
      <sz val="9"/>
      <color theme="0"/>
      <name val="Meiryo UI"/>
      <family val="3"/>
      <charset val="128"/>
    </font>
  </fonts>
  <fills count="4">
    <fill>
      <patternFill patternType="none"/>
    </fill>
    <fill>
      <patternFill patternType="gray125"/>
    </fill>
    <fill>
      <patternFill patternType="solid">
        <fgColor theme="2" tint="-0.249977111117893"/>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33">
    <xf numFmtId="0" fontId="0" fillId="0" borderId="0" xfId="0">
      <alignment vertical="center"/>
    </xf>
    <xf numFmtId="0" fontId="0" fillId="0" borderId="0" xfId="0" applyAlignment="1">
      <alignment horizontal="left" vertical="center"/>
    </xf>
    <xf numFmtId="0" fontId="0" fillId="2" borderId="0" xfId="0" applyFill="1">
      <alignment vertical="center"/>
    </xf>
    <xf numFmtId="0" fontId="0" fillId="2" borderId="0" xfId="0" applyFill="1" applyAlignment="1">
      <alignment horizontal="left" vertical="center"/>
    </xf>
    <xf numFmtId="0" fontId="2" fillId="0" borderId="0" xfId="0" applyFont="1">
      <alignment vertical="center"/>
    </xf>
    <xf numFmtId="0" fontId="3" fillId="0" borderId="0" xfId="0" applyFont="1">
      <alignment vertical="center"/>
    </xf>
    <xf numFmtId="0" fontId="3" fillId="2" borderId="1" xfId="0" applyFont="1" applyFill="1" applyBorder="1">
      <alignment vertical="center"/>
    </xf>
    <xf numFmtId="0" fontId="3" fillId="2" borderId="1" xfId="0" applyFont="1" applyFill="1" applyBorder="1" applyAlignment="1">
      <alignment horizontal="left" vertical="center"/>
    </xf>
    <xf numFmtId="0" fontId="3" fillId="0" borderId="1" xfId="0" applyFont="1" applyBorder="1">
      <alignment vertical="center"/>
    </xf>
    <xf numFmtId="0" fontId="3" fillId="0" borderId="1" xfId="0" applyFont="1" applyBorder="1" applyAlignment="1">
      <alignment horizontal="left" vertical="center"/>
    </xf>
    <xf numFmtId="0" fontId="3" fillId="0" borderId="1" xfId="0" applyFont="1" applyBorder="1" applyAlignment="1">
      <alignment vertical="center" wrapText="1"/>
    </xf>
    <xf numFmtId="0" fontId="4" fillId="0" borderId="1" xfId="0" applyFont="1" applyBorder="1">
      <alignment vertical="center"/>
    </xf>
    <xf numFmtId="10" fontId="3" fillId="0" borderId="1" xfId="0" applyNumberFormat="1" applyFont="1" applyBorder="1" applyAlignment="1">
      <alignment horizontal="left" vertical="center"/>
    </xf>
    <xf numFmtId="0" fontId="0" fillId="0" borderId="1" xfId="0" applyBorder="1">
      <alignment vertical="center"/>
    </xf>
    <xf numFmtId="0" fontId="3" fillId="0" borderId="2" xfId="0" applyFont="1" applyBorder="1">
      <alignment vertical="center"/>
    </xf>
    <xf numFmtId="0" fontId="3" fillId="0" borderId="3" xfId="0" applyFont="1" applyBorder="1">
      <alignment vertical="center"/>
    </xf>
    <xf numFmtId="0" fontId="3" fillId="0" borderId="4" xfId="0" applyFont="1" applyBorder="1">
      <alignment vertical="center"/>
    </xf>
    <xf numFmtId="0" fontId="3" fillId="2" borderId="2" xfId="0" applyFont="1" applyFill="1" applyBorder="1">
      <alignment vertical="center"/>
    </xf>
    <xf numFmtId="0" fontId="6" fillId="0" borderId="3" xfId="0" applyFont="1" applyBorder="1">
      <alignment vertical="center"/>
    </xf>
    <xf numFmtId="0" fontId="3" fillId="0" borderId="0" xfId="0" applyFont="1" applyFill="1" applyBorder="1">
      <alignment vertical="center"/>
    </xf>
    <xf numFmtId="0" fontId="0" fillId="0" borderId="2" xfId="0" applyBorder="1">
      <alignment vertical="center"/>
    </xf>
    <xf numFmtId="0" fontId="0" fillId="3" borderId="1" xfId="0" applyFill="1" applyBorder="1">
      <alignment vertical="center"/>
    </xf>
    <xf numFmtId="0" fontId="0" fillId="0" borderId="3" xfId="0" applyBorder="1">
      <alignment vertical="center"/>
    </xf>
    <xf numFmtId="0" fontId="0" fillId="0" borderId="1" xfId="0" applyBorder="1" applyAlignment="1">
      <alignment horizontal="left" vertical="center"/>
    </xf>
    <xf numFmtId="0" fontId="0" fillId="0" borderId="4" xfId="0" applyBorder="1">
      <alignment vertical="center"/>
    </xf>
    <xf numFmtId="0" fontId="0" fillId="0" borderId="4" xfId="0" applyBorder="1" applyAlignment="1">
      <alignment horizontal="left" vertical="center"/>
    </xf>
    <xf numFmtId="0" fontId="0" fillId="0" borderId="1" xfId="0" applyBorder="1" applyAlignment="1">
      <alignment vertical="center" wrapText="1"/>
    </xf>
    <xf numFmtId="0" fontId="5" fillId="0" borderId="1" xfId="0" applyFont="1" applyBorder="1">
      <alignment vertical="center"/>
    </xf>
    <xf numFmtId="0" fontId="2" fillId="0" borderId="1" xfId="0" applyFont="1" applyBorder="1">
      <alignment vertical="center"/>
    </xf>
    <xf numFmtId="0" fontId="0" fillId="2" borderId="2" xfId="0" applyFill="1" applyBorder="1">
      <alignment vertical="center"/>
    </xf>
    <xf numFmtId="0" fontId="2" fillId="0" borderId="3" xfId="0" applyFont="1" applyBorder="1">
      <alignment vertical="center"/>
    </xf>
    <xf numFmtId="0" fontId="0" fillId="0" borderId="1" xfId="0" applyFill="1" applyBorder="1">
      <alignment vertical="center"/>
    </xf>
    <xf numFmtId="0" fontId="4" fillId="0" borderId="1" xfId="0" applyFont="1"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407052</xdr:colOff>
      <xdr:row>4</xdr:row>
      <xdr:rowOff>32562</xdr:rowOff>
    </xdr:from>
    <xdr:to>
      <xdr:col>57</xdr:col>
      <xdr:colOff>261073</xdr:colOff>
      <xdr:row>102</xdr:row>
      <xdr:rowOff>50799</xdr:rowOff>
    </xdr:to>
    <xdr:pic>
      <xdr:nvPicPr>
        <xdr:cNvPr id="5" name="図 4">
          <a:extLst>
            <a:ext uri="{FF2B5EF4-FFF2-40B4-BE49-F238E27FC236}">
              <a16:creationId xmlns:a16="http://schemas.microsoft.com/office/drawing/2014/main" id="{53A8FB3B-964F-F116-6E26-5CAAD582C327}"/>
            </a:ext>
          </a:extLst>
        </xdr:cNvPr>
        <xdr:cNvPicPr>
          <a:picLocks noChangeAspect="1"/>
        </xdr:cNvPicPr>
      </xdr:nvPicPr>
      <xdr:blipFill>
        <a:blip xmlns:r="http://schemas.openxmlformats.org/officeDocument/2006/relationships" r:embed="rId1"/>
        <a:stretch>
          <a:fillRect/>
        </a:stretch>
      </xdr:blipFill>
      <xdr:spPr>
        <a:xfrm>
          <a:off x="407052" y="642162"/>
          <a:ext cx="34601221" cy="1495343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D6D5-83A0-4273-BBB7-3FA2C171944A}">
  <dimension ref="A1:I108"/>
  <sheetViews>
    <sheetView tabSelected="1" zoomScaleNormal="100" zoomScaleSheetLayoutView="85" workbookViewId="0">
      <pane ySplit="1" topLeftCell="A2" activePane="bottomLeft" state="frozen"/>
      <selection pane="bottomLeft" activeCell="D38" sqref="D38"/>
    </sheetView>
  </sheetViews>
  <sheetFormatPr defaultRowHeight="12" x14ac:dyDescent="0.2"/>
  <cols>
    <col min="2" max="2" width="4.5703125" bestFit="1" customWidth="1"/>
    <col min="3" max="3" width="42.85546875" bestFit="1" customWidth="1"/>
    <col min="4" max="4" width="34.42578125" customWidth="1"/>
    <col min="5" max="5" width="12.42578125" style="1" customWidth="1"/>
    <col min="6" max="6" width="14" customWidth="1"/>
    <col min="7" max="7" width="10.7109375" bestFit="1" customWidth="1"/>
    <col min="8" max="8" width="51.28515625" customWidth="1"/>
    <col min="9" max="9" width="99.42578125" bestFit="1" customWidth="1"/>
  </cols>
  <sheetData>
    <row r="1" spans="1:9" x14ac:dyDescent="0.2">
      <c r="A1" s="17" t="s">
        <v>0</v>
      </c>
      <c r="B1" s="6" t="s">
        <v>335</v>
      </c>
      <c r="C1" s="6" t="s">
        <v>333</v>
      </c>
      <c r="D1" s="6" t="s">
        <v>334</v>
      </c>
      <c r="E1" s="7" t="s">
        <v>2</v>
      </c>
      <c r="F1" s="6" t="s">
        <v>331</v>
      </c>
      <c r="G1" s="6" t="s">
        <v>4</v>
      </c>
      <c r="H1" s="6" t="s">
        <v>5</v>
      </c>
      <c r="I1" s="6" t="s">
        <v>194</v>
      </c>
    </row>
    <row r="2" spans="1:9" x14ac:dyDescent="0.2">
      <c r="A2" s="14" t="s">
        <v>6</v>
      </c>
      <c r="B2" s="8">
        <v>1</v>
      </c>
      <c r="C2" s="8" t="s">
        <v>325</v>
      </c>
      <c r="D2" s="8" t="s">
        <v>7</v>
      </c>
      <c r="E2" s="9" t="s">
        <v>8</v>
      </c>
      <c r="F2" s="8" t="s">
        <v>9</v>
      </c>
      <c r="G2" s="8">
        <v>1</v>
      </c>
      <c r="H2" s="8" t="s">
        <v>10</v>
      </c>
      <c r="I2" s="8" t="s">
        <v>195</v>
      </c>
    </row>
    <row r="3" spans="1:9" x14ac:dyDescent="0.2">
      <c r="A3" s="18" t="str">
        <f>A2</f>
        <v>ヘッダ</v>
      </c>
      <c r="B3" s="8">
        <v>2</v>
      </c>
      <c r="C3" s="8" t="s">
        <v>326</v>
      </c>
      <c r="D3" s="8" t="s">
        <v>11</v>
      </c>
      <c r="E3" s="9" t="s">
        <v>8</v>
      </c>
      <c r="F3" s="8" t="s">
        <v>9</v>
      </c>
      <c r="G3" s="8">
        <v>1</v>
      </c>
      <c r="H3" s="8" t="s">
        <v>12</v>
      </c>
      <c r="I3" s="8" t="s">
        <v>196</v>
      </c>
    </row>
    <row r="4" spans="1:9" x14ac:dyDescent="0.2">
      <c r="A4" s="18" t="str">
        <f t="shared" ref="A4:A8" si="0">A3</f>
        <v>ヘッダ</v>
      </c>
      <c r="B4" s="8">
        <v>3</v>
      </c>
      <c r="C4" s="8" t="s">
        <v>327</v>
      </c>
      <c r="D4" s="8" t="s">
        <v>13</v>
      </c>
      <c r="E4" s="9" t="s">
        <v>8</v>
      </c>
      <c r="F4" s="8" t="s">
        <v>9</v>
      </c>
      <c r="G4" s="8">
        <v>1</v>
      </c>
      <c r="H4" s="8" t="s">
        <v>14</v>
      </c>
      <c r="I4" s="8" t="s">
        <v>196</v>
      </c>
    </row>
    <row r="5" spans="1:9" ht="36" x14ac:dyDescent="0.2">
      <c r="A5" s="18" t="str">
        <f t="shared" si="0"/>
        <v>ヘッダ</v>
      </c>
      <c r="B5" s="8">
        <v>4</v>
      </c>
      <c r="C5" s="8" t="s">
        <v>328</v>
      </c>
      <c r="D5" s="8" t="s">
        <v>15</v>
      </c>
      <c r="E5" s="9" t="s">
        <v>8</v>
      </c>
      <c r="F5" s="8" t="s">
        <v>9</v>
      </c>
      <c r="G5" s="8">
        <v>1</v>
      </c>
      <c r="H5" s="10" t="s">
        <v>16</v>
      </c>
      <c r="I5" s="8" t="s">
        <v>195</v>
      </c>
    </row>
    <row r="6" spans="1:9" x14ac:dyDescent="0.2">
      <c r="A6" s="18" t="str">
        <f t="shared" si="0"/>
        <v>ヘッダ</v>
      </c>
      <c r="B6" s="8">
        <v>5</v>
      </c>
      <c r="C6" s="8" t="s">
        <v>329</v>
      </c>
      <c r="D6" s="8" t="s">
        <v>17</v>
      </c>
      <c r="E6" s="9" t="s">
        <v>8</v>
      </c>
      <c r="F6" s="8" t="s">
        <v>9</v>
      </c>
      <c r="G6" s="8">
        <v>1</v>
      </c>
      <c r="H6" s="10" t="s">
        <v>18</v>
      </c>
      <c r="I6" s="8" t="s">
        <v>196</v>
      </c>
    </row>
    <row r="7" spans="1:9" x14ac:dyDescent="0.2">
      <c r="A7" s="18" t="str">
        <f t="shared" si="0"/>
        <v>ヘッダ</v>
      </c>
      <c r="B7" s="8">
        <v>6</v>
      </c>
      <c r="C7" s="8" t="s">
        <v>330</v>
      </c>
      <c r="D7" s="8" t="s">
        <v>19</v>
      </c>
      <c r="E7" s="9" t="s">
        <v>8</v>
      </c>
      <c r="F7" s="8" t="s">
        <v>9</v>
      </c>
      <c r="G7" s="8">
        <v>1</v>
      </c>
      <c r="H7" s="10" t="s">
        <v>18</v>
      </c>
      <c r="I7" s="8" t="s">
        <v>196</v>
      </c>
    </row>
    <row r="8" spans="1:9" x14ac:dyDescent="0.2">
      <c r="A8" s="18" t="str">
        <f t="shared" si="0"/>
        <v>ヘッダ</v>
      </c>
      <c r="B8" s="8">
        <v>7</v>
      </c>
      <c r="C8" s="8" t="s">
        <v>332</v>
      </c>
      <c r="D8" s="8" t="s">
        <v>230</v>
      </c>
      <c r="E8" s="9" t="s">
        <v>8</v>
      </c>
      <c r="F8" s="8" t="s">
        <v>9</v>
      </c>
      <c r="G8" s="8">
        <v>1</v>
      </c>
      <c r="H8" s="8" t="s">
        <v>20</v>
      </c>
      <c r="I8" s="8"/>
    </row>
    <row r="9" spans="1:9" ht="14.25" x14ac:dyDescent="0.2">
      <c r="A9" s="14" t="s">
        <v>336</v>
      </c>
      <c r="B9" s="8">
        <v>8</v>
      </c>
      <c r="C9" s="11" t="s">
        <v>239</v>
      </c>
      <c r="D9" s="8" t="s">
        <v>21</v>
      </c>
      <c r="E9" s="9" t="s">
        <v>8</v>
      </c>
      <c r="F9" s="8" t="s">
        <v>22</v>
      </c>
      <c r="G9" s="8">
        <v>8</v>
      </c>
      <c r="H9" s="8"/>
      <c r="I9" s="8"/>
    </row>
    <row r="10" spans="1:9" x14ac:dyDescent="0.2">
      <c r="A10" s="15"/>
      <c r="B10" s="8">
        <v>9</v>
      </c>
      <c r="C10" s="8" t="s">
        <v>234</v>
      </c>
      <c r="D10" s="8" t="s">
        <v>23</v>
      </c>
      <c r="E10" s="9" t="s">
        <v>24</v>
      </c>
      <c r="F10" s="8" t="s">
        <v>22</v>
      </c>
      <c r="G10" s="8">
        <v>8</v>
      </c>
      <c r="H10" s="8"/>
      <c r="I10" s="8"/>
    </row>
    <row r="11" spans="1:9" x14ac:dyDescent="0.2">
      <c r="A11" s="15"/>
      <c r="B11" s="8">
        <v>10</v>
      </c>
      <c r="C11" s="8" t="s">
        <v>235</v>
      </c>
      <c r="D11" s="8" t="s">
        <v>231</v>
      </c>
      <c r="E11" s="9" t="s">
        <v>8</v>
      </c>
      <c r="F11" s="8" t="s">
        <v>9</v>
      </c>
      <c r="G11" s="8">
        <v>1</v>
      </c>
      <c r="H11" s="8" t="s">
        <v>232</v>
      </c>
      <c r="I11" s="8" t="s">
        <v>233</v>
      </c>
    </row>
    <row r="12" spans="1:9" x14ac:dyDescent="0.2">
      <c r="A12" s="15"/>
      <c r="B12" s="8">
        <v>11</v>
      </c>
      <c r="C12" s="8" t="s">
        <v>240</v>
      </c>
      <c r="D12" s="8" t="s">
        <v>25</v>
      </c>
      <c r="E12" s="9" t="s">
        <v>8</v>
      </c>
      <c r="F12" s="8" t="s">
        <v>9</v>
      </c>
      <c r="G12" s="8">
        <v>1</v>
      </c>
      <c r="H12" s="8"/>
      <c r="I12" s="8"/>
    </row>
    <row r="13" spans="1:9" x14ac:dyDescent="0.2">
      <c r="A13" s="15"/>
      <c r="B13" s="8">
        <v>12</v>
      </c>
      <c r="C13" s="8" t="s">
        <v>241</v>
      </c>
      <c r="D13" s="8" t="s">
        <v>26</v>
      </c>
      <c r="E13" s="9" t="s">
        <v>27</v>
      </c>
      <c r="F13" s="8" t="s">
        <v>9</v>
      </c>
      <c r="G13" s="8">
        <v>1</v>
      </c>
      <c r="H13" s="8"/>
      <c r="I13" s="8"/>
    </row>
    <row r="14" spans="1:9" x14ac:dyDescent="0.2">
      <c r="A14" s="15"/>
      <c r="B14" s="8">
        <v>13</v>
      </c>
      <c r="C14" s="8" t="s">
        <v>242</v>
      </c>
      <c r="D14" s="8" t="s">
        <v>28</v>
      </c>
      <c r="E14" s="9" t="s">
        <v>8</v>
      </c>
      <c r="F14" s="8" t="s">
        <v>9</v>
      </c>
      <c r="G14" s="8">
        <v>1</v>
      </c>
      <c r="H14" s="8"/>
      <c r="I14" s="8"/>
    </row>
    <row r="15" spans="1:9" x14ac:dyDescent="0.2">
      <c r="A15" s="15"/>
      <c r="B15" s="8">
        <v>14</v>
      </c>
      <c r="C15" s="8" t="s">
        <v>243</v>
      </c>
      <c r="D15" s="8" t="s">
        <v>29</v>
      </c>
      <c r="E15" s="9" t="s">
        <v>27</v>
      </c>
      <c r="F15" s="8" t="s">
        <v>9</v>
      </c>
      <c r="G15" s="8">
        <v>1</v>
      </c>
      <c r="H15" s="8"/>
      <c r="I15" s="8"/>
    </row>
    <row r="16" spans="1:9" x14ac:dyDescent="0.2">
      <c r="A16" s="15"/>
      <c r="B16" s="8">
        <v>15</v>
      </c>
      <c r="C16" s="8" t="s">
        <v>244</v>
      </c>
      <c r="D16" s="8" t="s">
        <v>30</v>
      </c>
      <c r="E16" s="9" t="s">
        <v>8</v>
      </c>
      <c r="F16" s="8" t="s">
        <v>9</v>
      </c>
      <c r="G16" s="8">
        <v>1</v>
      </c>
      <c r="H16" s="8"/>
      <c r="I16" s="8"/>
    </row>
    <row r="17" spans="1:9" x14ac:dyDescent="0.2">
      <c r="A17" s="15"/>
      <c r="B17" s="8">
        <v>16</v>
      </c>
      <c r="C17" s="8" t="s">
        <v>245</v>
      </c>
      <c r="D17" s="8" t="s">
        <v>31</v>
      </c>
      <c r="E17" s="9" t="s">
        <v>27</v>
      </c>
      <c r="F17" s="8" t="s">
        <v>9</v>
      </c>
      <c r="G17" s="8">
        <v>1</v>
      </c>
      <c r="H17" s="8"/>
      <c r="I17" s="8"/>
    </row>
    <row r="18" spans="1:9" x14ac:dyDescent="0.2">
      <c r="A18" s="15"/>
      <c r="B18" s="8">
        <v>17</v>
      </c>
      <c r="C18" s="8" t="s">
        <v>246</v>
      </c>
      <c r="D18" s="8" t="s">
        <v>32</v>
      </c>
      <c r="E18" s="9" t="s">
        <v>8</v>
      </c>
      <c r="F18" s="8" t="s">
        <v>9</v>
      </c>
      <c r="G18" s="8">
        <v>1</v>
      </c>
      <c r="H18" s="8"/>
      <c r="I18" s="8"/>
    </row>
    <row r="19" spans="1:9" x14ac:dyDescent="0.2">
      <c r="A19" s="15"/>
      <c r="B19" s="8">
        <v>18</v>
      </c>
      <c r="C19" s="8" t="s">
        <v>247</v>
      </c>
      <c r="D19" s="8" t="s">
        <v>33</v>
      </c>
      <c r="E19" s="9" t="s">
        <v>27</v>
      </c>
      <c r="F19" s="8" t="s">
        <v>9</v>
      </c>
      <c r="G19" s="8">
        <v>1</v>
      </c>
      <c r="H19" s="8"/>
      <c r="I19" s="8"/>
    </row>
    <row r="20" spans="1:9" x14ac:dyDescent="0.2">
      <c r="A20" s="15"/>
      <c r="B20" s="8">
        <v>19</v>
      </c>
      <c r="C20" s="8" t="s">
        <v>248</v>
      </c>
      <c r="D20" s="8" t="s">
        <v>34</v>
      </c>
      <c r="E20" s="9" t="s">
        <v>8</v>
      </c>
      <c r="F20" s="8" t="s">
        <v>9</v>
      </c>
      <c r="G20" s="8">
        <v>1</v>
      </c>
      <c r="H20" s="8"/>
      <c r="I20" s="8"/>
    </row>
    <row r="21" spans="1:9" x14ac:dyDescent="0.2">
      <c r="A21" s="15"/>
      <c r="B21" s="8">
        <v>20</v>
      </c>
      <c r="C21" s="8" t="s">
        <v>249</v>
      </c>
      <c r="D21" s="8" t="s">
        <v>35</v>
      </c>
      <c r="E21" s="9" t="s">
        <v>27</v>
      </c>
      <c r="F21" s="8" t="s">
        <v>9</v>
      </c>
      <c r="G21" s="8">
        <v>1</v>
      </c>
      <c r="H21" s="8"/>
      <c r="I21" s="8"/>
    </row>
    <row r="22" spans="1:9" x14ac:dyDescent="0.2">
      <c r="A22" s="15"/>
      <c r="B22" s="8">
        <v>21</v>
      </c>
      <c r="C22" s="8" t="s">
        <v>250</v>
      </c>
      <c r="D22" s="8" t="s">
        <v>36</v>
      </c>
      <c r="E22" s="9" t="s">
        <v>8</v>
      </c>
      <c r="F22" s="8" t="s">
        <v>9</v>
      </c>
      <c r="G22" s="8">
        <v>1</v>
      </c>
      <c r="H22" s="8"/>
      <c r="I22" s="8"/>
    </row>
    <row r="23" spans="1:9" x14ac:dyDescent="0.2">
      <c r="A23" s="15"/>
      <c r="B23" s="8">
        <v>22</v>
      </c>
      <c r="C23" s="8" t="s">
        <v>251</v>
      </c>
      <c r="D23" s="8" t="s">
        <v>37</v>
      </c>
      <c r="E23" s="9" t="s">
        <v>27</v>
      </c>
      <c r="F23" s="8" t="s">
        <v>9</v>
      </c>
      <c r="G23" s="8">
        <v>1</v>
      </c>
      <c r="H23" s="8"/>
      <c r="I23" s="8"/>
    </row>
    <row r="24" spans="1:9" x14ac:dyDescent="0.2">
      <c r="A24" s="15"/>
      <c r="B24" s="8">
        <v>23</v>
      </c>
      <c r="C24" s="8" t="s">
        <v>252</v>
      </c>
      <c r="D24" s="8" t="s">
        <v>38</v>
      </c>
      <c r="E24" s="9" t="s">
        <v>8</v>
      </c>
      <c r="F24" s="8" t="s">
        <v>9</v>
      </c>
      <c r="G24" s="8">
        <v>1</v>
      </c>
      <c r="H24" s="8"/>
      <c r="I24" s="8"/>
    </row>
    <row r="25" spans="1:9" x14ac:dyDescent="0.2">
      <c r="A25" s="15"/>
      <c r="B25" s="8">
        <v>24</v>
      </c>
      <c r="C25" s="8" t="s">
        <v>253</v>
      </c>
      <c r="D25" s="8" t="s">
        <v>39</v>
      </c>
      <c r="E25" s="9" t="s">
        <v>27</v>
      </c>
      <c r="F25" s="8" t="s">
        <v>9</v>
      </c>
      <c r="G25" s="8">
        <v>1</v>
      </c>
      <c r="H25" s="8"/>
      <c r="I25" s="8"/>
    </row>
    <row r="26" spans="1:9" x14ac:dyDescent="0.2">
      <c r="A26" s="15"/>
      <c r="B26" s="8">
        <v>25</v>
      </c>
      <c r="C26" s="8" t="s">
        <v>254</v>
      </c>
      <c r="D26" s="8" t="s">
        <v>40</v>
      </c>
      <c r="E26" s="9" t="s">
        <v>8</v>
      </c>
      <c r="F26" s="8" t="s">
        <v>9</v>
      </c>
      <c r="G26" s="8">
        <v>1</v>
      </c>
      <c r="H26" s="8"/>
      <c r="I26" s="8"/>
    </row>
    <row r="27" spans="1:9" x14ac:dyDescent="0.2">
      <c r="A27" s="15"/>
      <c r="B27" s="8">
        <v>26</v>
      </c>
      <c r="C27" s="8" t="s">
        <v>255</v>
      </c>
      <c r="D27" s="8" t="s">
        <v>41</v>
      </c>
      <c r="E27" s="9" t="s">
        <v>27</v>
      </c>
      <c r="F27" s="8" t="s">
        <v>9</v>
      </c>
      <c r="G27" s="8">
        <v>1</v>
      </c>
      <c r="H27" s="8"/>
      <c r="I27" s="8"/>
    </row>
    <row r="28" spans="1:9" x14ac:dyDescent="0.2">
      <c r="A28" s="15"/>
      <c r="B28" s="8">
        <v>27</v>
      </c>
      <c r="C28" s="8" t="s">
        <v>238</v>
      </c>
      <c r="D28" s="8" t="s">
        <v>42</v>
      </c>
      <c r="E28" s="9" t="s">
        <v>8</v>
      </c>
      <c r="F28" s="8" t="s">
        <v>9</v>
      </c>
      <c r="G28" s="8">
        <v>1</v>
      </c>
      <c r="H28" s="8"/>
      <c r="I28" s="8"/>
    </row>
    <row r="29" spans="1:9" s="5" customFormat="1" ht="14.25" x14ac:dyDescent="0.2">
      <c r="A29" s="15"/>
      <c r="B29" s="8">
        <v>28</v>
      </c>
      <c r="C29" s="11" t="s">
        <v>256</v>
      </c>
      <c r="D29" s="8" t="s">
        <v>200</v>
      </c>
      <c r="E29" s="9" t="s">
        <v>8</v>
      </c>
      <c r="F29" s="8" t="s">
        <v>43</v>
      </c>
      <c r="G29" s="8">
        <v>4</v>
      </c>
      <c r="H29" s="8"/>
      <c r="I29" s="8"/>
    </row>
    <row r="30" spans="1:9" s="5" customFormat="1" x14ac:dyDescent="0.2">
      <c r="A30" s="15"/>
      <c r="B30" s="8">
        <v>29</v>
      </c>
      <c r="C30" s="8" t="s">
        <v>257</v>
      </c>
      <c r="D30" s="8" t="s">
        <v>44</v>
      </c>
      <c r="E30" s="9" t="s">
        <v>45</v>
      </c>
      <c r="F30" s="8" t="s">
        <v>46</v>
      </c>
      <c r="G30" s="8">
        <v>4</v>
      </c>
      <c r="H30" s="8"/>
      <c r="I30" s="8"/>
    </row>
    <row r="31" spans="1:9" s="5" customFormat="1" x14ac:dyDescent="0.2">
      <c r="A31" s="15"/>
      <c r="B31" s="8">
        <v>30</v>
      </c>
      <c r="C31" s="8" t="s">
        <v>258</v>
      </c>
      <c r="D31" s="8" t="s">
        <v>47</v>
      </c>
      <c r="E31" s="9" t="s">
        <v>45</v>
      </c>
      <c r="F31" s="8" t="s">
        <v>46</v>
      </c>
      <c r="G31" s="8">
        <v>4</v>
      </c>
      <c r="H31" s="8"/>
      <c r="I31" s="8"/>
    </row>
    <row r="32" spans="1:9" s="5" customFormat="1" x14ac:dyDescent="0.2">
      <c r="A32" s="15"/>
      <c r="B32" s="8">
        <v>31</v>
      </c>
      <c r="C32" s="8" t="s">
        <v>259</v>
      </c>
      <c r="D32" s="8" t="s">
        <v>48</v>
      </c>
      <c r="E32" s="9" t="s">
        <v>49</v>
      </c>
      <c r="F32" s="8" t="s">
        <v>46</v>
      </c>
      <c r="G32" s="8">
        <v>4</v>
      </c>
      <c r="H32" s="8"/>
      <c r="I32" s="8"/>
    </row>
    <row r="33" spans="1:9" s="5" customFormat="1" ht="14.25" x14ac:dyDescent="0.2">
      <c r="A33" s="15"/>
      <c r="B33" s="8">
        <v>32</v>
      </c>
      <c r="C33" s="11" t="s">
        <v>260</v>
      </c>
      <c r="D33" s="8" t="s">
        <v>201</v>
      </c>
      <c r="E33" s="9" t="s">
        <v>8</v>
      </c>
      <c r="F33" s="8" t="s">
        <v>43</v>
      </c>
      <c r="G33" s="8">
        <v>4</v>
      </c>
      <c r="H33" s="8"/>
      <c r="I33" s="8"/>
    </row>
    <row r="34" spans="1:9" s="5" customFormat="1" ht="14.25" x14ac:dyDescent="0.2">
      <c r="A34" s="15"/>
      <c r="B34" s="8">
        <v>33</v>
      </c>
      <c r="C34" s="11" t="s">
        <v>261</v>
      </c>
      <c r="D34" s="8" t="s">
        <v>197</v>
      </c>
      <c r="E34" s="9" t="s">
        <v>49</v>
      </c>
      <c r="F34" s="8" t="s">
        <v>46</v>
      </c>
      <c r="G34" s="8">
        <v>4</v>
      </c>
      <c r="H34" s="8"/>
      <c r="I34" s="8"/>
    </row>
    <row r="35" spans="1:9" s="5" customFormat="1" ht="14.25" x14ac:dyDescent="0.2">
      <c r="A35" s="15"/>
      <c r="B35" s="8">
        <v>34</v>
      </c>
      <c r="C35" s="11" t="s">
        <v>262</v>
      </c>
      <c r="D35" s="8" t="s">
        <v>198</v>
      </c>
      <c r="E35" s="9" t="s">
        <v>49</v>
      </c>
      <c r="F35" s="8" t="s">
        <v>46</v>
      </c>
      <c r="G35" s="8">
        <v>4</v>
      </c>
      <c r="H35" s="8"/>
      <c r="I35" s="8"/>
    </row>
    <row r="36" spans="1:9" s="5" customFormat="1" ht="14.25" x14ac:dyDescent="0.2">
      <c r="A36" s="15"/>
      <c r="B36" s="8">
        <v>35</v>
      </c>
      <c r="C36" s="11" t="s">
        <v>263</v>
      </c>
      <c r="D36" s="8" t="s">
        <v>199</v>
      </c>
      <c r="E36" s="9" t="s">
        <v>49</v>
      </c>
      <c r="F36" s="8" t="s">
        <v>46</v>
      </c>
      <c r="G36" s="8">
        <v>4</v>
      </c>
      <c r="H36" s="8"/>
      <c r="I36" s="8"/>
    </row>
    <row r="37" spans="1:9" x14ac:dyDescent="0.2">
      <c r="A37" s="15"/>
      <c r="B37" s="8">
        <v>36</v>
      </c>
      <c r="C37" s="8" t="s">
        <v>264</v>
      </c>
      <c r="D37" s="8" t="s">
        <v>50</v>
      </c>
      <c r="E37" s="9" t="s">
        <v>8</v>
      </c>
      <c r="F37" s="8" t="s">
        <v>43</v>
      </c>
      <c r="G37" s="8">
        <v>4</v>
      </c>
      <c r="H37" s="8"/>
      <c r="I37" s="8"/>
    </row>
    <row r="38" spans="1:9" x14ac:dyDescent="0.2">
      <c r="A38" s="15"/>
      <c r="B38" s="8">
        <v>37</v>
      </c>
      <c r="C38" s="8" t="s">
        <v>265</v>
      </c>
      <c r="D38" s="8" t="s">
        <v>51</v>
      </c>
      <c r="E38" s="9" t="s">
        <v>49</v>
      </c>
      <c r="F38" s="8" t="s">
        <v>46</v>
      </c>
      <c r="G38" s="8">
        <v>4</v>
      </c>
      <c r="H38" s="8"/>
      <c r="I38" s="8"/>
    </row>
    <row r="39" spans="1:9" x14ac:dyDescent="0.2">
      <c r="A39" s="15"/>
      <c r="B39" s="8">
        <v>38</v>
      </c>
      <c r="C39" s="8" t="s">
        <v>266</v>
      </c>
      <c r="D39" s="8" t="s">
        <v>52</v>
      </c>
      <c r="E39" s="9" t="s">
        <v>49</v>
      </c>
      <c r="F39" s="8" t="s">
        <v>46</v>
      </c>
      <c r="G39" s="8">
        <v>4</v>
      </c>
      <c r="H39" s="8"/>
      <c r="I39" s="8"/>
    </row>
    <row r="40" spans="1:9" x14ac:dyDescent="0.2">
      <c r="A40" s="15"/>
      <c r="B40" s="8">
        <v>39</v>
      </c>
      <c r="C40" s="8" t="s">
        <v>267</v>
      </c>
      <c r="D40" s="8" t="s">
        <v>53</v>
      </c>
      <c r="E40" s="9" t="s">
        <v>49</v>
      </c>
      <c r="F40" s="8" t="s">
        <v>46</v>
      </c>
      <c r="G40" s="8">
        <v>4</v>
      </c>
      <c r="H40" s="8"/>
      <c r="I40" s="8"/>
    </row>
    <row r="41" spans="1:9" x14ac:dyDescent="0.2">
      <c r="A41" s="15"/>
      <c r="B41" s="8">
        <v>40</v>
      </c>
      <c r="C41" s="8" t="s">
        <v>268</v>
      </c>
      <c r="D41" s="8" t="s">
        <v>54</v>
      </c>
      <c r="E41" s="9" t="s">
        <v>8</v>
      </c>
      <c r="F41" s="8" t="s">
        <v>9</v>
      </c>
      <c r="G41" s="8">
        <v>1</v>
      </c>
      <c r="H41" s="8"/>
      <c r="I41" s="8"/>
    </row>
    <row r="42" spans="1:9" x14ac:dyDescent="0.2">
      <c r="A42" s="15"/>
      <c r="B42" s="8">
        <v>41</v>
      </c>
      <c r="C42" s="8" t="s">
        <v>269</v>
      </c>
      <c r="D42" s="8" t="s">
        <v>55</v>
      </c>
      <c r="E42" s="9" t="s">
        <v>8</v>
      </c>
      <c r="F42" s="8" t="s">
        <v>56</v>
      </c>
      <c r="G42" s="8">
        <v>1</v>
      </c>
      <c r="H42" s="8"/>
      <c r="I42" s="8"/>
    </row>
    <row r="43" spans="1:9" x14ac:dyDescent="0.2">
      <c r="A43" s="15"/>
      <c r="B43" s="8">
        <v>42</v>
      </c>
      <c r="C43" s="8" t="s">
        <v>270</v>
      </c>
      <c r="D43" s="8" t="s">
        <v>57</v>
      </c>
      <c r="E43" s="9" t="s">
        <v>27</v>
      </c>
      <c r="F43" s="8" t="s">
        <v>9</v>
      </c>
      <c r="G43" s="8">
        <v>1</v>
      </c>
      <c r="H43" s="8"/>
      <c r="I43" s="8"/>
    </row>
    <row r="44" spans="1:9" x14ac:dyDescent="0.2">
      <c r="A44" s="15"/>
      <c r="B44" s="8">
        <v>43</v>
      </c>
      <c r="C44" s="8" t="s">
        <v>271</v>
      </c>
      <c r="D44" s="8" t="s">
        <v>58</v>
      </c>
      <c r="E44" s="9" t="s">
        <v>8</v>
      </c>
      <c r="F44" s="8" t="s">
        <v>43</v>
      </c>
      <c r="G44" s="8">
        <v>4</v>
      </c>
      <c r="H44" s="8"/>
      <c r="I44" s="8"/>
    </row>
    <row r="45" spans="1:9" x14ac:dyDescent="0.2">
      <c r="A45" s="15"/>
      <c r="B45" s="8">
        <v>44</v>
      </c>
      <c r="C45" s="8" t="s">
        <v>272</v>
      </c>
      <c r="D45" s="8" t="s">
        <v>59</v>
      </c>
      <c r="E45" s="9" t="s">
        <v>8</v>
      </c>
      <c r="F45" s="8" t="s">
        <v>43</v>
      </c>
      <c r="G45" s="8">
        <v>4</v>
      </c>
      <c r="H45" s="8"/>
      <c r="I45" s="8"/>
    </row>
    <row r="46" spans="1:9" x14ac:dyDescent="0.2">
      <c r="A46" s="15"/>
      <c r="B46" s="8">
        <v>45</v>
      </c>
      <c r="C46" s="8" t="s">
        <v>273</v>
      </c>
      <c r="D46" s="8" t="s">
        <v>60</v>
      </c>
      <c r="E46" s="12">
        <v>1E-4</v>
      </c>
      <c r="F46" s="8" t="s">
        <v>61</v>
      </c>
      <c r="G46" s="8">
        <v>2</v>
      </c>
      <c r="H46" s="8"/>
      <c r="I46" s="8"/>
    </row>
    <row r="47" spans="1:9" x14ac:dyDescent="0.2">
      <c r="A47" s="15"/>
      <c r="B47" s="8">
        <v>46</v>
      </c>
      <c r="C47" s="8" t="s">
        <v>274</v>
      </c>
      <c r="D47" s="8" t="s">
        <v>62</v>
      </c>
      <c r="E47" s="9" t="s">
        <v>8</v>
      </c>
      <c r="F47" s="8" t="s">
        <v>22</v>
      </c>
      <c r="G47" s="8">
        <v>8</v>
      </c>
      <c r="H47" s="8"/>
      <c r="I47" s="8"/>
    </row>
    <row r="48" spans="1:9" x14ac:dyDescent="0.2">
      <c r="A48" s="15"/>
      <c r="B48" s="8">
        <v>47</v>
      </c>
      <c r="C48" s="8" t="s">
        <v>275</v>
      </c>
      <c r="D48" s="8" t="s">
        <v>63</v>
      </c>
      <c r="E48" s="9" t="s">
        <v>49</v>
      </c>
      <c r="F48" s="8" t="s">
        <v>46</v>
      </c>
      <c r="G48" s="8">
        <v>4</v>
      </c>
      <c r="H48" s="8"/>
      <c r="I48" s="8"/>
    </row>
    <row r="49" spans="1:9" x14ac:dyDescent="0.2">
      <c r="A49" s="15"/>
      <c r="B49" s="8">
        <v>48</v>
      </c>
      <c r="C49" s="8" t="s">
        <v>276</v>
      </c>
      <c r="D49" s="8" t="s">
        <v>64</v>
      </c>
      <c r="E49" s="9" t="s">
        <v>49</v>
      </c>
      <c r="F49" s="8" t="s">
        <v>46</v>
      </c>
      <c r="G49" s="8">
        <v>4</v>
      </c>
      <c r="H49" s="8"/>
      <c r="I49" s="8"/>
    </row>
    <row r="50" spans="1:9" x14ac:dyDescent="0.2">
      <c r="A50" s="15"/>
      <c r="B50" s="8">
        <v>49</v>
      </c>
      <c r="C50" s="8" t="s">
        <v>277</v>
      </c>
      <c r="D50" s="8" t="s">
        <v>65</v>
      </c>
      <c r="E50" s="9" t="s">
        <v>49</v>
      </c>
      <c r="F50" s="8" t="s">
        <v>46</v>
      </c>
      <c r="G50" s="8">
        <v>4</v>
      </c>
      <c r="H50" s="8"/>
      <c r="I50" s="8"/>
    </row>
    <row r="51" spans="1:9" x14ac:dyDescent="0.2">
      <c r="A51" s="15"/>
      <c r="B51" s="8">
        <v>50</v>
      </c>
      <c r="C51" s="8" t="s">
        <v>278</v>
      </c>
      <c r="D51" s="8" t="s">
        <v>66</v>
      </c>
      <c r="E51" s="9" t="s">
        <v>49</v>
      </c>
      <c r="F51" s="8" t="s">
        <v>61</v>
      </c>
      <c r="G51" s="8">
        <v>2</v>
      </c>
      <c r="H51" s="8"/>
      <c r="I51" s="8"/>
    </row>
    <row r="52" spans="1:9" x14ac:dyDescent="0.2">
      <c r="A52" s="15"/>
      <c r="B52" s="8">
        <v>51</v>
      </c>
      <c r="C52" s="8" t="s">
        <v>279</v>
      </c>
      <c r="D52" s="8" t="s">
        <v>67</v>
      </c>
      <c r="E52" s="9" t="s">
        <v>49</v>
      </c>
      <c r="F52" s="8" t="s">
        <v>61</v>
      </c>
      <c r="G52" s="8">
        <v>2</v>
      </c>
      <c r="H52" s="8"/>
      <c r="I52" s="8"/>
    </row>
    <row r="53" spans="1:9" x14ac:dyDescent="0.2">
      <c r="A53" s="15"/>
      <c r="B53" s="8">
        <v>52</v>
      </c>
      <c r="C53" s="8" t="s">
        <v>280</v>
      </c>
      <c r="D53" s="8" t="s">
        <v>68</v>
      </c>
      <c r="E53" s="9" t="s">
        <v>69</v>
      </c>
      <c r="F53" s="8" t="s">
        <v>61</v>
      </c>
      <c r="G53" s="8">
        <v>2</v>
      </c>
      <c r="H53" s="8"/>
      <c r="I53" s="8"/>
    </row>
    <row r="54" spans="1:9" x14ac:dyDescent="0.2">
      <c r="A54" s="15"/>
      <c r="B54" s="8">
        <v>53</v>
      </c>
      <c r="C54" s="8" t="s">
        <v>281</v>
      </c>
      <c r="D54" s="8" t="s">
        <v>70</v>
      </c>
      <c r="E54" s="9" t="s">
        <v>49</v>
      </c>
      <c r="F54" s="8" t="s">
        <v>61</v>
      </c>
      <c r="G54" s="8">
        <v>2</v>
      </c>
      <c r="H54" s="8"/>
      <c r="I54" s="8"/>
    </row>
    <row r="55" spans="1:9" x14ac:dyDescent="0.2">
      <c r="A55" s="15"/>
      <c r="B55" s="8">
        <v>54</v>
      </c>
      <c r="C55" s="8" t="s">
        <v>282</v>
      </c>
      <c r="D55" s="8" t="s">
        <v>71</v>
      </c>
      <c r="E55" s="9" t="s">
        <v>8</v>
      </c>
      <c r="F55" s="8" t="s">
        <v>9</v>
      </c>
      <c r="G55" s="8">
        <v>1</v>
      </c>
      <c r="H55" s="8"/>
      <c r="I55" s="8"/>
    </row>
    <row r="56" spans="1:9" x14ac:dyDescent="0.2">
      <c r="A56" s="15"/>
      <c r="B56" s="8">
        <v>55</v>
      </c>
      <c r="C56" s="8" t="s">
        <v>283</v>
      </c>
      <c r="D56" s="8" t="s">
        <v>72</v>
      </c>
      <c r="E56" s="9" t="s">
        <v>69</v>
      </c>
      <c r="F56" s="8" t="s">
        <v>61</v>
      </c>
      <c r="G56" s="8">
        <v>2</v>
      </c>
      <c r="H56" s="8"/>
      <c r="I56" s="8"/>
    </row>
    <row r="57" spans="1:9" x14ac:dyDescent="0.2">
      <c r="A57" s="15"/>
      <c r="B57" s="8">
        <v>56</v>
      </c>
      <c r="C57" s="8" t="s">
        <v>284</v>
      </c>
      <c r="D57" s="8" t="s">
        <v>73</v>
      </c>
      <c r="E57" s="9" t="s">
        <v>69</v>
      </c>
      <c r="F57" s="8" t="s">
        <v>61</v>
      </c>
      <c r="G57" s="8">
        <v>2</v>
      </c>
      <c r="H57" s="8"/>
      <c r="I57" s="8"/>
    </row>
    <row r="58" spans="1:9" x14ac:dyDescent="0.2">
      <c r="A58" s="15"/>
      <c r="B58" s="8">
        <v>57</v>
      </c>
      <c r="C58" s="8" t="s">
        <v>285</v>
      </c>
      <c r="D58" s="8" t="s">
        <v>74</v>
      </c>
      <c r="E58" s="9" t="s">
        <v>75</v>
      </c>
      <c r="F58" s="8" t="s">
        <v>76</v>
      </c>
      <c r="G58" s="8">
        <v>2</v>
      </c>
      <c r="H58" s="8"/>
      <c r="I58" s="8"/>
    </row>
    <row r="59" spans="1:9" x14ac:dyDescent="0.2">
      <c r="A59" s="15"/>
      <c r="B59" s="8">
        <v>58</v>
      </c>
      <c r="C59" s="8" t="s">
        <v>286</v>
      </c>
      <c r="D59" s="8" t="s">
        <v>77</v>
      </c>
      <c r="E59" s="9" t="s">
        <v>75</v>
      </c>
      <c r="F59" s="8" t="s">
        <v>61</v>
      </c>
      <c r="G59" s="8">
        <v>2</v>
      </c>
      <c r="H59" s="8"/>
      <c r="I59" s="8"/>
    </row>
    <row r="60" spans="1:9" x14ac:dyDescent="0.2">
      <c r="A60" s="15"/>
      <c r="B60" s="8">
        <v>59</v>
      </c>
      <c r="C60" s="8" t="s">
        <v>287</v>
      </c>
      <c r="D60" s="8" t="s">
        <v>78</v>
      </c>
      <c r="E60" s="9" t="s">
        <v>79</v>
      </c>
      <c r="F60" s="8" t="s">
        <v>76</v>
      </c>
      <c r="G60" s="8">
        <v>2</v>
      </c>
      <c r="H60" s="8"/>
      <c r="I60" s="8"/>
    </row>
    <row r="61" spans="1:9" x14ac:dyDescent="0.2">
      <c r="A61" s="15"/>
      <c r="B61" s="8">
        <v>60</v>
      </c>
      <c r="C61" s="8" t="s">
        <v>288</v>
      </c>
      <c r="D61" s="8" t="s">
        <v>80</v>
      </c>
      <c r="E61" s="9" t="s">
        <v>79</v>
      </c>
      <c r="F61" s="8" t="s">
        <v>61</v>
      </c>
      <c r="G61" s="8">
        <v>2</v>
      </c>
      <c r="H61" s="8"/>
      <c r="I61" s="8"/>
    </row>
    <row r="62" spans="1:9" x14ac:dyDescent="0.2">
      <c r="A62" s="15"/>
      <c r="B62" s="8">
        <v>61</v>
      </c>
      <c r="C62" s="8" t="s">
        <v>289</v>
      </c>
      <c r="D62" s="8" t="s">
        <v>81</v>
      </c>
      <c r="E62" s="9" t="s">
        <v>82</v>
      </c>
      <c r="F62" s="8" t="s">
        <v>76</v>
      </c>
      <c r="G62" s="8">
        <v>2</v>
      </c>
      <c r="H62" s="8"/>
      <c r="I62" s="8"/>
    </row>
    <row r="63" spans="1:9" x14ac:dyDescent="0.2">
      <c r="A63" s="15"/>
      <c r="B63" s="8">
        <v>62</v>
      </c>
      <c r="C63" s="8" t="s">
        <v>290</v>
      </c>
      <c r="D63" s="8" t="s">
        <v>83</v>
      </c>
      <c r="E63" s="9" t="s">
        <v>82</v>
      </c>
      <c r="F63" s="8" t="s">
        <v>61</v>
      </c>
      <c r="G63" s="8">
        <v>2</v>
      </c>
      <c r="H63" s="8"/>
      <c r="I63" s="8"/>
    </row>
    <row r="64" spans="1:9" x14ac:dyDescent="0.2">
      <c r="A64" s="15"/>
      <c r="B64" s="8">
        <v>63</v>
      </c>
      <c r="C64" s="8" t="s">
        <v>291</v>
      </c>
      <c r="D64" s="8" t="s">
        <v>84</v>
      </c>
      <c r="E64" s="9" t="s">
        <v>69</v>
      </c>
      <c r="F64" s="8" t="s">
        <v>61</v>
      </c>
      <c r="G64" s="8">
        <v>2</v>
      </c>
      <c r="H64" s="8"/>
      <c r="I64" s="8"/>
    </row>
    <row r="65" spans="1:9" x14ac:dyDescent="0.2">
      <c r="A65" s="15"/>
      <c r="B65" s="8">
        <v>64</v>
      </c>
      <c r="C65" s="8" t="s">
        <v>292</v>
      </c>
      <c r="D65" s="8" t="s">
        <v>85</v>
      </c>
      <c r="E65" s="9" t="s">
        <v>69</v>
      </c>
      <c r="F65" s="8" t="s">
        <v>61</v>
      </c>
      <c r="G65" s="8">
        <v>2</v>
      </c>
      <c r="H65" s="8"/>
      <c r="I65" s="8"/>
    </row>
    <row r="66" spans="1:9" x14ac:dyDescent="0.2">
      <c r="A66" s="15"/>
      <c r="B66" s="8">
        <v>65</v>
      </c>
      <c r="C66" s="8" t="s">
        <v>236</v>
      </c>
      <c r="D66" s="8" t="s">
        <v>86</v>
      </c>
      <c r="E66" s="9" t="s">
        <v>49</v>
      </c>
      <c r="F66" s="8" t="s">
        <v>61</v>
      </c>
      <c r="G66" s="8">
        <v>2</v>
      </c>
      <c r="H66" s="8"/>
      <c r="I66" s="8"/>
    </row>
    <row r="67" spans="1:9" x14ac:dyDescent="0.2">
      <c r="A67" s="15"/>
      <c r="B67" s="8">
        <v>66</v>
      </c>
      <c r="C67" s="8" t="s">
        <v>237</v>
      </c>
      <c r="D67" s="8" t="s">
        <v>87</v>
      </c>
      <c r="E67" s="9" t="s">
        <v>49</v>
      </c>
      <c r="F67" s="8" t="s">
        <v>61</v>
      </c>
      <c r="G67" s="8">
        <v>2</v>
      </c>
      <c r="H67" s="8"/>
      <c r="I67" s="8"/>
    </row>
    <row r="68" spans="1:9" x14ac:dyDescent="0.2">
      <c r="A68" s="15"/>
      <c r="B68" s="8">
        <v>67</v>
      </c>
      <c r="C68" s="8" t="s">
        <v>293</v>
      </c>
      <c r="D68" s="8" t="s">
        <v>88</v>
      </c>
      <c r="E68" s="9" t="s">
        <v>49</v>
      </c>
      <c r="F68" s="8" t="s">
        <v>61</v>
      </c>
      <c r="G68" s="8">
        <v>2</v>
      </c>
      <c r="H68" s="8"/>
      <c r="I68" s="8"/>
    </row>
    <row r="69" spans="1:9" x14ac:dyDescent="0.2">
      <c r="A69" s="15"/>
      <c r="B69" s="8">
        <v>68</v>
      </c>
      <c r="C69" s="8" t="s">
        <v>294</v>
      </c>
      <c r="D69" s="8" t="s">
        <v>89</v>
      </c>
      <c r="E69" s="9" t="s">
        <v>49</v>
      </c>
      <c r="F69" s="8" t="s">
        <v>61</v>
      </c>
      <c r="G69" s="8">
        <v>2</v>
      </c>
      <c r="H69" s="8"/>
      <c r="I69" s="8"/>
    </row>
    <row r="70" spans="1:9" x14ac:dyDescent="0.2">
      <c r="A70" s="15"/>
      <c r="B70" s="8">
        <v>69</v>
      </c>
      <c r="C70" s="8" t="s">
        <v>295</v>
      </c>
      <c r="D70" s="8" t="s">
        <v>90</v>
      </c>
      <c r="E70" s="9" t="s">
        <v>49</v>
      </c>
      <c r="F70" s="8" t="s">
        <v>61</v>
      </c>
      <c r="G70" s="8">
        <v>2</v>
      </c>
      <c r="H70" s="8"/>
      <c r="I70" s="8"/>
    </row>
    <row r="71" spans="1:9" x14ac:dyDescent="0.2">
      <c r="A71" s="15"/>
      <c r="B71" s="8">
        <v>70</v>
      </c>
      <c r="C71" s="8" t="s">
        <v>296</v>
      </c>
      <c r="D71" s="8" t="s">
        <v>91</v>
      </c>
      <c r="E71" s="9" t="s">
        <v>49</v>
      </c>
      <c r="F71" s="8" t="s">
        <v>61</v>
      </c>
      <c r="G71" s="8">
        <v>2</v>
      </c>
      <c r="H71" s="8"/>
      <c r="I71" s="8"/>
    </row>
    <row r="72" spans="1:9" ht="14.25" x14ac:dyDescent="0.2">
      <c r="A72" s="15"/>
      <c r="B72" s="8">
        <v>71</v>
      </c>
      <c r="C72" s="11" t="s">
        <v>297</v>
      </c>
      <c r="D72" s="8" t="s">
        <v>202</v>
      </c>
      <c r="E72" s="9" t="s">
        <v>8</v>
      </c>
      <c r="F72" s="8" t="s">
        <v>61</v>
      </c>
      <c r="G72" s="8">
        <v>2</v>
      </c>
      <c r="H72" s="8"/>
      <c r="I72" s="8"/>
    </row>
    <row r="73" spans="1:9" x14ac:dyDescent="0.2">
      <c r="A73" s="15"/>
      <c r="B73" s="8">
        <v>72</v>
      </c>
      <c r="C73" s="8" t="s">
        <v>298</v>
      </c>
      <c r="D73" s="8" t="s">
        <v>92</v>
      </c>
      <c r="E73" s="9" t="s">
        <v>8</v>
      </c>
      <c r="F73" s="8" t="s">
        <v>9</v>
      </c>
      <c r="G73" s="8">
        <v>1</v>
      </c>
      <c r="H73" s="8"/>
      <c r="I73" s="8"/>
    </row>
    <row r="74" spans="1:9" x14ac:dyDescent="0.2">
      <c r="A74" s="15"/>
      <c r="B74" s="8">
        <v>73</v>
      </c>
      <c r="C74" s="8" t="s">
        <v>299</v>
      </c>
      <c r="D74" s="8" t="s">
        <v>93</v>
      </c>
      <c r="E74" s="9" t="s">
        <v>94</v>
      </c>
      <c r="F74" s="8" t="s">
        <v>56</v>
      </c>
      <c r="G74" s="8">
        <v>1</v>
      </c>
      <c r="H74" s="8"/>
      <c r="I74" s="8"/>
    </row>
    <row r="75" spans="1:9" x14ac:dyDescent="0.2">
      <c r="A75" s="15"/>
      <c r="B75" s="8">
        <v>74</v>
      </c>
      <c r="C75" s="8" t="s">
        <v>300</v>
      </c>
      <c r="D75" s="8" t="s">
        <v>95</v>
      </c>
      <c r="E75" s="9" t="s">
        <v>94</v>
      </c>
      <c r="F75" s="8" t="s">
        <v>56</v>
      </c>
      <c r="G75" s="8">
        <v>1</v>
      </c>
      <c r="H75" s="8"/>
      <c r="I75" s="8"/>
    </row>
    <row r="76" spans="1:9" x14ac:dyDescent="0.2">
      <c r="A76" s="15"/>
      <c r="B76" s="8">
        <v>75</v>
      </c>
      <c r="C76" s="8" t="s">
        <v>301</v>
      </c>
      <c r="D76" s="8" t="s">
        <v>96</v>
      </c>
      <c r="E76" s="9" t="s">
        <v>8</v>
      </c>
      <c r="F76" s="8" t="s">
        <v>9</v>
      </c>
      <c r="G76" s="8">
        <v>1</v>
      </c>
      <c r="H76" s="8"/>
      <c r="I76" s="8"/>
    </row>
    <row r="77" spans="1:9" x14ac:dyDescent="0.2">
      <c r="A77" s="15"/>
      <c r="B77" s="8">
        <v>76</v>
      </c>
      <c r="C77" s="8" t="s">
        <v>302</v>
      </c>
      <c r="D77" s="8" t="s">
        <v>97</v>
      </c>
      <c r="E77" s="9" t="s">
        <v>8</v>
      </c>
      <c r="F77" s="8" t="s">
        <v>9</v>
      </c>
      <c r="G77" s="8">
        <v>1</v>
      </c>
      <c r="H77" s="8"/>
      <c r="I77" s="8"/>
    </row>
    <row r="78" spans="1:9" x14ac:dyDescent="0.2">
      <c r="A78" s="15"/>
      <c r="B78" s="8">
        <v>77</v>
      </c>
      <c r="C78" s="8" t="s">
        <v>303</v>
      </c>
      <c r="D78" s="8" t="s">
        <v>98</v>
      </c>
      <c r="E78" s="12">
        <v>5.0000000000000001E-3</v>
      </c>
      <c r="F78" s="8" t="s">
        <v>9</v>
      </c>
      <c r="G78" s="8">
        <v>1</v>
      </c>
      <c r="H78" s="8"/>
      <c r="I78" s="8"/>
    </row>
    <row r="79" spans="1:9" x14ac:dyDescent="0.2">
      <c r="A79" s="15"/>
      <c r="B79" s="8">
        <v>78</v>
      </c>
      <c r="C79" s="8" t="s">
        <v>304</v>
      </c>
      <c r="D79" s="8" t="s">
        <v>99</v>
      </c>
      <c r="E79" s="9" t="s">
        <v>8</v>
      </c>
      <c r="F79" s="8" t="s">
        <v>9</v>
      </c>
      <c r="G79" s="8">
        <v>1</v>
      </c>
      <c r="H79" s="8"/>
      <c r="I79" s="8"/>
    </row>
    <row r="80" spans="1:9" x14ac:dyDescent="0.2">
      <c r="A80" s="15"/>
      <c r="B80" s="8">
        <v>79</v>
      </c>
      <c r="C80" s="8" t="s">
        <v>305</v>
      </c>
      <c r="D80" s="8" t="s">
        <v>100</v>
      </c>
      <c r="E80" s="9" t="s">
        <v>8</v>
      </c>
      <c r="F80" s="8" t="s">
        <v>9</v>
      </c>
      <c r="G80" s="8">
        <v>1</v>
      </c>
      <c r="H80" s="8"/>
      <c r="I80" s="8"/>
    </row>
    <row r="81" spans="1:9" x14ac:dyDescent="0.2">
      <c r="A81" s="15"/>
      <c r="B81" s="8">
        <v>80</v>
      </c>
      <c r="C81" s="8" t="s">
        <v>306</v>
      </c>
      <c r="D81" s="8" t="s">
        <v>101</v>
      </c>
      <c r="E81" s="9" t="s">
        <v>8</v>
      </c>
      <c r="F81" s="8" t="s">
        <v>9</v>
      </c>
      <c r="G81" s="8">
        <v>1</v>
      </c>
      <c r="H81" s="8"/>
      <c r="I81" s="8"/>
    </row>
    <row r="82" spans="1:9" x14ac:dyDescent="0.2">
      <c r="A82" s="15"/>
      <c r="B82" s="8">
        <v>81</v>
      </c>
      <c r="C82" s="8" t="s">
        <v>307</v>
      </c>
      <c r="D82" s="8" t="s">
        <v>102</v>
      </c>
      <c r="E82" s="9" t="s">
        <v>8</v>
      </c>
      <c r="F82" s="8" t="s">
        <v>9</v>
      </c>
      <c r="G82" s="8">
        <v>1</v>
      </c>
      <c r="H82" s="8"/>
      <c r="I82" s="8"/>
    </row>
    <row r="83" spans="1:9" x14ac:dyDescent="0.2">
      <c r="A83" s="15"/>
      <c r="B83" s="8">
        <v>82</v>
      </c>
      <c r="C83" s="8" t="s">
        <v>308</v>
      </c>
      <c r="D83" s="8" t="s">
        <v>103</v>
      </c>
      <c r="E83" s="9" t="s">
        <v>8</v>
      </c>
      <c r="F83" s="8" t="s">
        <v>9</v>
      </c>
      <c r="G83" s="8">
        <v>1</v>
      </c>
      <c r="H83" s="8"/>
      <c r="I83" s="8"/>
    </row>
    <row r="84" spans="1:9" x14ac:dyDescent="0.2">
      <c r="A84" s="15"/>
      <c r="B84" s="8">
        <v>83</v>
      </c>
      <c r="C84" s="8" t="s">
        <v>309</v>
      </c>
      <c r="D84" s="8" t="s">
        <v>104</v>
      </c>
      <c r="E84" s="9" t="s">
        <v>8</v>
      </c>
      <c r="F84" s="8" t="s">
        <v>9</v>
      </c>
      <c r="G84" s="8">
        <v>1</v>
      </c>
      <c r="H84" s="8"/>
      <c r="I84" s="8"/>
    </row>
    <row r="85" spans="1:9" x14ac:dyDescent="0.2">
      <c r="A85" s="15"/>
      <c r="B85" s="8">
        <v>84</v>
      </c>
      <c r="C85" s="8" t="s">
        <v>310</v>
      </c>
      <c r="D85" s="8" t="s">
        <v>105</v>
      </c>
      <c r="E85" s="9" t="s">
        <v>8</v>
      </c>
      <c r="F85" s="8" t="s">
        <v>9</v>
      </c>
      <c r="G85" s="8">
        <v>1</v>
      </c>
      <c r="H85" s="8"/>
      <c r="I85" s="8"/>
    </row>
    <row r="86" spans="1:9" x14ac:dyDescent="0.2">
      <c r="A86" s="15"/>
      <c r="B86" s="8">
        <v>85</v>
      </c>
      <c r="C86" s="8" t="s">
        <v>311</v>
      </c>
      <c r="D86" s="8" t="s">
        <v>106</v>
      </c>
      <c r="E86" s="9" t="s">
        <v>8</v>
      </c>
      <c r="F86" s="8" t="s">
        <v>9</v>
      </c>
      <c r="G86" s="8">
        <v>1</v>
      </c>
      <c r="H86" s="8"/>
      <c r="I86" s="8"/>
    </row>
    <row r="87" spans="1:9" x14ac:dyDescent="0.2">
      <c r="A87" s="15"/>
      <c r="B87" s="8">
        <v>86</v>
      </c>
      <c r="C87" s="8" t="s">
        <v>312</v>
      </c>
      <c r="D87" s="8" t="s">
        <v>107</v>
      </c>
      <c r="E87" s="9" t="s">
        <v>8</v>
      </c>
      <c r="F87" s="8" t="s">
        <v>9</v>
      </c>
      <c r="G87" s="8">
        <v>1</v>
      </c>
      <c r="H87" s="8"/>
      <c r="I87" s="8"/>
    </row>
    <row r="88" spans="1:9" ht="14.25" x14ac:dyDescent="0.2">
      <c r="A88" s="15"/>
      <c r="B88" s="8">
        <v>87</v>
      </c>
      <c r="C88" s="11" t="s">
        <v>313</v>
      </c>
      <c r="D88" s="8" t="s">
        <v>203</v>
      </c>
      <c r="E88" s="9" t="s">
        <v>8</v>
      </c>
      <c r="F88" s="8" t="s">
        <v>9</v>
      </c>
      <c r="G88" s="8">
        <v>1</v>
      </c>
      <c r="H88" s="8"/>
      <c r="I88" s="8"/>
    </row>
    <row r="89" spans="1:9" x14ac:dyDescent="0.2">
      <c r="A89" s="15"/>
      <c r="B89" s="8">
        <v>88</v>
      </c>
      <c r="C89" s="8" t="s">
        <v>314</v>
      </c>
      <c r="D89" s="8" t="s">
        <v>108</v>
      </c>
      <c r="E89" s="9" t="s">
        <v>8</v>
      </c>
      <c r="F89" s="8" t="s">
        <v>9</v>
      </c>
      <c r="G89" s="8">
        <v>1</v>
      </c>
      <c r="H89" s="8"/>
      <c r="I89" s="8"/>
    </row>
    <row r="90" spans="1:9" x14ac:dyDescent="0.2">
      <c r="A90" s="15"/>
      <c r="B90" s="8">
        <v>89</v>
      </c>
      <c r="C90" s="8" t="s">
        <v>315</v>
      </c>
      <c r="D90" s="8" t="s">
        <v>109</v>
      </c>
      <c r="E90" s="9" t="s">
        <v>8</v>
      </c>
      <c r="F90" s="8" t="s">
        <v>9</v>
      </c>
      <c r="G90" s="8">
        <v>1</v>
      </c>
      <c r="H90" s="8"/>
      <c r="I90" s="8"/>
    </row>
    <row r="91" spans="1:9" ht="14.25" x14ac:dyDescent="0.2">
      <c r="A91" s="15"/>
      <c r="B91" s="8">
        <v>90</v>
      </c>
      <c r="C91" s="11" t="s">
        <v>316</v>
      </c>
      <c r="D91" s="8" t="s">
        <v>228</v>
      </c>
      <c r="E91" s="9" t="s">
        <v>8</v>
      </c>
      <c r="F91" s="8" t="s">
        <v>22</v>
      </c>
      <c r="G91" s="8">
        <v>8</v>
      </c>
      <c r="H91" s="8"/>
      <c r="I91" s="8"/>
    </row>
    <row r="92" spans="1:9" ht="14.25" x14ac:dyDescent="0.2">
      <c r="A92" s="15"/>
      <c r="B92" s="8">
        <v>91</v>
      </c>
      <c r="C92" s="11" t="s">
        <v>317</v>
      </c>
      <c r="D92" s="8" t="s">
        <v>204</v>
      </c>
      <c r="E92" s="9" t="s">
        <v>8</v>
      </c>
      <c r="F92" s="8" t="s">
        <v>9</v>
      </c>
      <c r="G92" s="8">
        <v>1</v>
      </c>
      <c r="H92" s="8"/>
      <c r="I92" s="8"/>
    </row>
    <row r="93" spans="1:9" ht="14.25" x14ac:dyDescent="0.2">
      <c r="A93" s="15"/>
      <c r="B93" s="8">
        <v>92</v>
      </c>
      <c r="C93" s="11" t="s">
        <v>318</v>
      </c>
      <c r="D93" s="8" t="s">
        <v>205</v>
      </c>
      <c r="E93" s="9" t="s">
        <v>8</v>
      </c>
      <c r="F93" s="8" t="s">
        <v>61</v>
      </c>
      <c r="G93" s="8">
        <v>2</v>
      </c>
      <c r="H93" s="8"/>
      <c r="I93" s="8"/>
    </row>
    <row r="94" spans="1:9" ht="14.25" x14ac:dyDescent="0.2">
      <c r="A94" s="15"/>
      <c r="B94" s="8">
        <v>93</v>
      </c>
      <c r="C94" s="11" t="s">
        <v>319</v>
      </c>
      <c r="D94" s="8" t="s">
        <v>206</v>
      </c>
      <c r="E94" s="9" t="s">
        <v>8</v>
      </c>
      <c r="F94" s="8" t="s">
        <v>9</v>
      </c>
      <c r="G94" s="8">
        <v>1</v>
      </c>
      <c r="H94" s="8"/>
      <c r="I94" s="8"/>
    </row>
    <row r="95" spans="1:9" ht="14.25" x14ac:dyDescent="0.2">
      <c r="A95" s="15"/>
      <c r="B95" s="8">
        <v>94</v>
      </c>
      <c r="C95" s="11" t="s">
        <v>320</v>
      </c>
      <c r="D95" s="8" t="s">
        <v>207</v>
      </c>
      <c r="E95" s="9" t="s">
        <v>208</v>
      </c>
      <c r="F95" s="8" t="s">
        <v>61</v>
      </c>
      <c r="G95" s="8">
        <v>2</v>
      </c>
      <c r="H95" s="8"/>
      <c r="I95" s="8"/>
    </row>
    <row r="96" spans="1:9" x14ac:dyDescent="0.2">
      <c r="A96" s="15"/>
      <c r="B96" s="8">
        <v>95</v>
      </c>
      <c r="C96" s="8" t="s">
        <v>321</v>
      </c>
      <c r="D96" s="8" t="s">
        <v>110</v>
      </c>
      <c r="E96" s="9" t="s">
        <v>8</v>
      </c>
      <c r="F96" s="8" t="s">
        <v>22</v>
      </c>
      <c r="G96" s="8">
        <v>8</v>
      </c>
      <c r="H96" s="8"/>
      <c r="I96" s="8"/>
    </row>
    <row r="97" spans="1:9" x14ac:dyDescent="0.2">
      <c r="A97" s="15"/>
      <c r="B97" s="8">
        <v>96</v>
      </c>
      <c r="C97" s="13" t="s">
        <v>322</v>
      </c>
      <c r="D97" s="8" t="s">
        <v>111</v>
      </c>
      <c r="E97" s="9" t="s">
        <v>8</v>
      </c>
      <c r="F97" s="8" t="s">
        <v>22</v>
      </c>
      <c r="G97" s="8">
        <v>8</v>
      </c>
      <c r="H97" s="8"/>
      <c r="I97" s="8"/>
    </row>
    <row r="98" spans="1:9" x14ac:dyDescent="0.2">
      <c r="A98" s="15"/>
      <c r="B98" s="8">
        <v>97</v>
      </c>
      <c r="C98" s="13" t="s">
        <v>323</v>
      </c>
      <c r="D98" s="8" t="s">
        <v>112</v>
      </c>
      <c r="E98" s="9" t="s">
        <v>8</v>
      </c>
      <c r="F98" s="8" t="s">
        <v>22</v>
      </c>
      <c r="G98" s="8">
        <v>8</v>
      </c>
      <c r="H98" s="8"/>
      <c r="I98" s="8"/>
    </row>
    <row r="99" spans="1:9" x14ac:dyDescent="0.2">
      <c r="A99" s="16"/>
      <c r="B99" s="8">
        <v>98</v>
      </c>
      <c r="C99" s="13" t="s">
        <v>324</v>
      </c>
      <c r="D99" s="8" t="s">
        <v>113</v>
      </c>
      <c r="E99" s="9" t="s">
        <v>8</v>
      </c>
      <c r="F99" s="8" t="s">
        <v>22</v>
      </c>
      <c r="G99" s="8">
        <v>8</v>
      </c>
      <c r="H99" s="8"/>
      <c r="I99" s="8"/>
    </row>
    <row r="100" spans="1:9" x14ac:dyDescent="0.2">
      <c r="A100" s="8" t="s">
        <v>114</v>
      </c>
      <c r="B100" s="8"/>
      <c r="C100" s="8"/>
      <c r="D100" s="8" t="s">
        <v>115</v>
      </c>
      <c r="E100" s="9" t="s">
        <v>115</v>
      </c>
      <c r="F100" s="8" t="s">
        <v>115</v>
      </c>
      <c r="G100" s="8">
        <f>SUM(G9:G99)</f>
        <v>222</v>
      </c>
      <c r="H100" s="5"/>
      <c r="I100" s="5"/>
    </row>
    <row r="101" spans="1:9" x14ac:dyDescent="0.2">
      <c r="A101" s="8" t="s">
        <v>115</v>
      </c>
      <c r="B101" s="8"/>
      <c r="C101" s="8"/>
      <c r="D101" s="8" t="s">
        <v>115</v>
      </c>
      <c r="E101" s="9" t="s">
        <v>115</v>
      </c>
      <c r="F101" s="8" t="s">
        <v>115</v>
      </c>
      <c r="G101" s="8" t="s">
        <v>115</v>
      </c>
      <c r="H101" s="5"/>
      <c r="I101" s="5"/>
    </row>
    <row r="102" spans="1:9" x14ac:dyDescent="0.2">
      <c r="A102" s="8" t="s">
        <v>116</v>
      </c>
      <c r="B102" s="8"/>
      <c r="C102" s="8"/>
      <c r="D102" s="8" t="s">
        <v>115</v>
      </c>
      <c r="E102" s="9" t="s">
        <v>115</v>
      </c>
      <c r="F102" s="8" t="s">
        <v>115</v>
      </c>
      <c r="G102" s="8">
        <f>G100</f>
        <v>222</v>
      </c>
      <c r="H102" s="5"/>
      <c r="I102" s="5"/>
    </row>
    <row r="104" spans="1:9" x14ac:dyDescent="0.2">
      <c r="F104" s="5" t="s">
        <v>499</v>
      </c>
      <c r="G104">
        <f>SUMIF(A:A,"ヘッダ",G:G)</f>
        <v>7</v>
      </c>
    </row>
    <row r="105" spans="1:9" x14ac:dyDescent="0.2">
      <c r="C105" s="5"/>
      <c r="F105" s="5" t="s">
        <v>498</v>
      </c>
      <c r="G105">
        <f>G102</f>
        <v>222</v>
      </c>
    </row>
    <row r="106" spans="1:9" x14ac:dyDescent="0.2">
      <c r="C106" s="5"/>
      <c r="F106" s="19" t="s">
        <v>500</v>
      </c>
      <c r="G106">
        <f>TRUNC((1458-G104)/G105)</f>
        <v>6</v>
      </c>
    </row>
    <row r="107" spans="1:9" x14ac:dyDescent="0.2">
      <c r="C107" s="5"/>
      <c r="F107" s="5" t="s">
        <v>501</v>
      </c>
      <c r="G107">
        <f>G104+G105*G106</f>
        <v>1339</v>
      </c>
    </row>
    <row r="108" spans="1:9" x14ac:dyDescent="0.2">
      <c r="C108" s="5"/>
    </row>
  </sheetData>
  <phoneticPr fontId="1"/>
  <pageMargins left="0.7" right="0.7" top="0.75" bottom="0.75" header="0.3" footer="0.3"/>
  <pageSetup paperSize="9" scale="6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2E444-1F99-47CC-BA37-0A40A6A0773D}">
  <dimension ref="A1:I112"/>
  <sheetViews>
    <sheetView zoomScaleNormal="100" workbookViewId="0">
      <selection activeCell="A8" sqref="A8"/>
    </sheetView>
  </sheetViews>
  <sheetFormatPr defaultRowHeight="12" x14ac:dyDescent="0.2"/>
  <cols>
    <col min="1" max="1" width="14.85546875" bestFit="1" customWidth="1"/>
    <col min="2" max="2" width="4.5703125" bestFit="1" customWidth="1"/>
    <col min="3" max="3" width="38.28515625" bestFit="1" customWidth="1"/>
    <col min="4" max="4" width="34.7109375" bestFit="1" customWidth="1"/>
    <col min="5" max="5" width="6.5703125" bestFit="1" customWidth="1"/>
    <col min="6" max="6" width="14.85546875" bestFit="1" customWidth="1"/>
    <col min="7" max="7" width="10.140625" bestFit="1" customWidth="1"/>
    <col min="8" max="8" width="49.7109375" bestFit="1" customWidth="1"/>
    <col min="9" max="9" width="116" bestFit="1" customWidth="1"/>
  </cols>
  <sheetData>
    <row r="1" spans="1:9" x14ac:dyDescent="0.2">
      <c r="A1" s="17" t="s">
        <v>0</v>
      </c>
      <c r="B1" s="6" t="s">
        <v>335</v>
      </c>
      <c r="C1" s="6" t="s">
        <v>333</v>
      </c>
      <c r="D1" s="6" t="s">
        <v>334</v>
      </c>
      <c r="E1" s="7" t="s">
        <v>2</v>
      </c>
      <c r="F1" s="6" t="s">
        <v>3</v>
      </c>
      <c r="G1" s="6" t="s">
        <v>4</v>
      </c>
      <c r="H1" s="6" t="s">
        <v>5</v>
      </c>
      <c r="I1" s="6" t="s">
        <v>194</v>
      </c>
    </row>
    <row r="2" spans="1:9" x14ac:dyDescent="0.2">
      <c r="A2" s="15" t="s">
        <v>6</v>
      </c>
      <c r="B2" s="8">
        <v>1</v>
      </c>
      <c r="C2" s="8" t="s">
        <v>325</v>
      </c>
      <c r="D2" s="8" t="s">
        <v>7</v>
      </c>
      <c r="E2" s="9" t="s">
        <v>8</v>
      </c>
      <c r="F2" s="8" t="s">
        <v>9</v>
      </c>
      <c r="G2" s="8">
        <v>1</v>
      </c>
      <c r="H2" s="8" t="s">
        <v>10</v>
      </c>
      <c r="I2" s="8" t="s">
        <v>195</v>
      </c>
    </row>
    <row r="3" spans="1:9" x14ac:dyDescent="0.2">
      <c r="A3" s="18" t="str">
        <f>A2</f>
        <v>ヘッダ</v>
      </c>
      <c r="B3" s="8">
        <v>2</v>
      </c>
      <c r="C3" s="8" t="s">
        <v>326</v>
      </c>
      <c r="D3" s="8" t="s">
        <v>11</v>
      </c>
      <c r="E3" s="9" t="s">
        <v>8</v>
      </c>
      <c r="F3" s="8" t="s">
        <v>9</v>
      </c>
      <c r="G3" s="8">
        <v>1</v>
      </c>
      <c r="H3" s="8" t="s">
        <v>12</v>
      </c>
      <c r="I3" s="8" t="s">
        <v>196</v>
      </c>
    </row>
    <row r="4" spans="1:9" x14ac:dyDescent="0.2">
      <c r="A4" s="18" t="str">
        <f t="shared" ref="A4:A8" si="0">A3</f>
        <v>ヘッダ</v>
      </c>
      <c r="B4" s="8">
        <v>3</v>
      </c>
      <c r="C4" s="8" t="s">
        <v>327</v>
      </c>
      <c r="D4" s="8" t="s">
        <v>13</v>
      </c>
      <c r="E4" s="9" t="s">
        <v>8</v>
      </c>
      <c r="F4" s="8" t="s">
        <v>9</v>
      </c>
      <c r="G4" s="8">
        <v>1</v>
      </c>
      <c r="H4" s="8" t="s">
        <v>14</v>
      </c>
      <c r="I4" s="8" t="s">
        <v>196</v>
      </c>
    </row>
    <row r="5" spans="1:9" ht="36" x14ac:dyDescent="0.2">
      <c r="A5" s="18" t="str">
        <f t="shared" si="0"/>
        <v>ヘッダ</v>
      </c>
      <c r="B5" s="8">
        <v>4</v>
      </c>
      <c r="C5" s="8" t="s">
        <v>328</v>
      </c>
      <c r="D5" s="8" t="s">
        <v>15</v>
      </c>
      <c r="E5" s="9" t="s">
        <v>8</v>
      </c>
      <c r="F5" s="8" t="s">
        <v>9</v>
      </c>
      <c r="G5" s="8">
        <v>1</v>
      </c>
      <c r="H5" s="10" t="s">
        <v>16</v>
      </c>
      <c r="I5" s="8" t="s">
        <v>195</v>
      </c>
    </row>
    <row r="6" spans="1:9" x14ac:dyDescent="0.2">
      <c r="A6" s="18" t="str">
        <f t="shared" si="0"/>
        <v>ヘッダ</v>
      </c>
      <c r="B6" s="8">
        <v>5</v>
      </c>
      <c r="C6" s="8" t="s">
        <v>329</v>
      </c>
      <c r="D6" s="8" t="s">
        <v>17</v>
      </c>
      <c r="E6" s="9" t="s">
        <v>8</v>
      </c>
      <c r="F6" s="8" t="s">
        <v>9</v>
      </c>
      <c r="G6" s="8">
        <v>1</v>
      </c>
      <c r="H6" s="10" t="s">
        <v>18</v>
      </c>
      <c r="I6" s="8" t="s">
        <v>196</v>
      </c>
    </row>
    <row r="7" spans="1:9" x14ac:dyDescent="0.2">
      <c r="A7" s="18" t="str">
        <f t="shared" si="0"/>
        <v>ヘッダ</v>
      </c>
      <c r="B7" s="8">
        <v>6</v>
      </c>
      <c r="C7" s="8" t="s">
        <v>330</v>
      </c>
      <c r="D7" s="8" t="s">
        <v>19</v>
      </c>
      <c r="E7" s="9" t="s">
        <v>8</v>
      </c>
      <c r="F7" s="8" t="s">
        <v>9</v>
      </c>
      <c r="G7" s="8">
        <v>1</v>
      </c>
      <c r="H7" s="10" t="s">
        <v>18</v>
      </c>
      <c r="I7" s="8" t="s">
        <v>196</v>
      </c>
    </row>
    <row r="8" spans="1:9" x14ac:dyDescent="0.2">
      <c r="A8" s="18" t="str">
        <f t="shared" si="0"/>
        <v>ヘッダ</v>
      </c>
      <c r="B8" s="8">
        <v>7</v>
      </c>
      <c r="C8" s="8" t="s">
        <v>332</v>
      </c>
      <c r="D8" s="8" t="s">
        <v>217</v>
      </c>
      <c r="E8" s="9" t="s">
        <v>8</v>
      </c>
      <c r="F8" s="8" t="s">
        <v>9</v>
      </c>
      <c r="G8" s="8">
        <v>1</v>
      </c>
      <c r="H8" s="8" t="s">
        <v>117</v>
      </c>
      <c r="I8" s="8"/>
    </row>
    <row r="9" spans="1:9" x14ac:dyDescent="0.2">
      <c r="A9" s="15" t="s">
        <v>118</v>
      </c>
      <c r="B9" s="8">
        <v>8</v>
      </c>
      <c r="C9" s="13" t="s">
        <v>337</v>
      </c>
      <c r="D9" s="8" t="s">
        <v>119</v>
      </c>
      <c r="E9" s="9" t="s">
        <v>8</v>
      </c>
      <c r="F9" s="8" t="s">
        <v>22</v>
      </c>
      <c r="G9" s="8">
        <v>8</v>
      </c>
      <c r="H9" s="8"/>
      <c r="I9" s="8"/>
    </row>
    <row r="10" spans="1:9" x14ac:dyDescent="0.2">
      <c r="A10" s="15"/>
      <c r="B10" s="8">
        <v>9</v>
      </c>
      <c r="C10" s="13" t="s">
        <v>234</v>
      </c>
      <c r="D10" s="8" t="s">
        <v>23</v>
      </c>
      <c r="E10" s="9" t="s">
        <v>24</v>
      </c>
      <c r="F10" s="8" t="s">
        <v>22</v>
      </c>
      <c r="G10" s="8">
        <v>8</v>
      </c>
      <c r="H10" s="8"/>
      <c r="I10" s="8"/>
    </row>
    <row r="11" spans="1:9" x14ac:dyDescent="0.2">
      <c r="A11" s="15"/>
      <c r="B11" s="8">
        <v>10</v>
      </c>
      <c r="C11" s="13" t="s">
        <v>340</v>
      </c>
      <c r="D11" s="8" t="s">
        <v>231</v>
      </c>
      <c r="E11" s="9" t="s">
        <v>8</v>
      </c>
      <c r="F11" s="8" t="s">
        <v>9</v>
      </c>
      <c r="G11" s="8">
        <v>1</v>
      </c>
      <c r="H11" s="8" t="s">
        <v>232</v>
      </c>
      <c r="I11" s="8" t="s">
        <v>233</v>
      </c>
    </row>
    <row r="12" spans="1:9" x14ac:dyDescent="0.2">
      <c r="A12" s="15"/>
      <c r="B12" s="8">
        <v>11</v>
      </c>
      <c r="C12" s="13" t="s">
        <v>338</v>
      </c>
      <c r="D12" s="8" t="s">
        <v>209</v>
      </c>
      <c r="E12" s="9" t="s">
        <v>8</v>
      </c>
      <c r="F12" s="8" t="s">
        <v>9</v>
      </c>
      <c r="G12" s="8">
        <v>1</v>
      </c>
      <c r="H12" s="8"/>
      <c r="I12" s="8"/>
    </row>
    <row r="13" spans="1:9" x14ac:dyDescent="0.2">
      <c r="A13" s="15"/>
      <c r="B13" s="8">
        <v>12</v>
      </c>
      <c r="C13" s="13" t="s">
        <v>339</v>
      </c>
      <c r="D13" s="8" t="s">
        <v>210</v>
      </c>
      <c r="E13" s="9" t="s">
        <v>8</v>
      </c>
      <c r="F13" s="8" t="s">
        <v>9</v>
      </c>
      <c r="G13" s="8">
        <v>1</v>
      </c>
      <c r="H13" s="8"/>
      <c r="I13" s="8"/>
    </row>
    <row r="14" spans="1:9" x14ac:dyDescent="0.2">
      <c r="A14" s="15"/>
      <c r="B14" s="8">
        <v>13</v>
      </c>
      <c r="C14" s="8" t="s">
        <v>341</v>
      </c>
      <c r="D14" s="21" t="s">
        <v>448</v>
      </c>
      <c r="E14" s="9" t="s">
        <v>8</v>
      </c>
      <c r="F14" s="8" t="s">
        <v>43</v>
      </c>
      <c r="G14" s="8">
        <v>4</v>
      </c>
      <c r="H14" s="8" t="s">
        <v>504</v>
      </c>
      <c r="I14" s="8"/>
    </row>
    <row r="15" spans="1:9" x14ac:dyDescent="0.2">
      <c r="A15" s="15"/>
      <c r="B15" s="8">
        <v>14</v>
      </c>
      <c r="C15" s="8" t="s">
        <v>342</v>
      </c>
      <c r="D15" s="21" t="s">
        <v>449</v>
      </c>
      <c r="E15" s="9" t="s">
        <v>45</v>
      </c>
      <c r="F15" s="8" t="s">
        <v>46</v>
      </c>
      <c r="G15" s="8">
        <v>4</v>
      </c>
      <c r="H15" s="13"/>
      <c r="I15" s="8"/>
    </row>
    <row r="16" spans="1:9" x14ac:dyDescent="0.2">
      <c r="A16" s="15"/>
      <c r="B16" s="8">
        <v>15</v>
      </c>
      <c r="C16" s="8" t="s">
        <v>343</v>
      </c>
      <c r="D16" s="21" t="s">
        <v>450</v>
      </c>
      <c r="E16" s="9" t="s">
        <v>45</v>
      </c>
      <c r="F16" s="8" t="s">
        <v>46</v>
      </c>
      <c r="G16" s="8">
        <v>4</v>
      </c>
      <c r="H16" s="13"/>
      <c r="I16" s="8"/>
    </row>
    <row r="17" spans="1:9" x14ac:dyDescent="0.2">
      <c r="A17" s="15"/>
      <c r="B17" s="8">
        <v>16</v>
      </c>
      <c r="C17" s="8" t="s">
        <v>344</v>
      </c>
      <c r="D17" s="21" t="s">
        <v>451</v>
      </c>
      <c r="E17" s="9" t="s">
        <v>49</v>
      </c>
      <c r="F17" s="8" t="s">
        <v>46</v>
      </c>
      <c r="G17" s="8">
        <v>4</v>
      </c>
      <c r="H17" s="13"/>
      <c r="I17" s="8"/>
    </row>
    <row r="18" spans="1:9" x14ac:dyDescent="0.2">
      <c r="A18" s="15"/>
      <c r="B18" s="8">
        <v>17</v>
      </c>
      <c r="C18" s="8" t="s">
        <v>345</v>
      </c>
      <c r="D18" s="21" t="s">
        <v>448</v>
      </c>
      <c r="E18" s="9" t="s">
        <v>8</v>
      </c>
      <c r="F18" s="8" t="s">
        <v>43</v>
      </c>
      <c r="G18" s="8">
        <v>4</v>
      </c>
      <c r="H18" s="8"/>
      <c r="I18" s="8"/>
    </row>
    <row r="19" spans="1:9" x14ac:dyDescent="0.2">
      <c r="A19" s="15"/>
      <c r="B19" s="8">
        <v>18</v>
      </c>
      <c r="C19" s="8" t="s">
        <v>346</v>
      </c>
      <c r="D19" s="21" t="s">
        <v>452</v>
      </c>
      <c r="E19" s="9" t="s">
        <v>49</v>
      </c>
      <c r="F19" s="8" t="s">
        <v>46</v>
      </c>
      <c r="G19" s="8">
        <v>4</v>
      </c>
      <c r="H19" s="8"/>
      <c r="I19" s="8"/>
    </row>
    <row r="20" spans="1:9" x14ac:dyDescent="0.2">
      <c r="A20" s="15"/>
      <c r="B20" s="8">
        <v>19</v>
      </c>
      <c r="C20" s="8" t="s">
        <v>347</v>
      </c>
      <c r="D20" s="21" t="s">
        <v>453</v>
      </c>
      <c r="E20" s="9" t="s">
        <v>49</v>
      </c>
      <c r="F20" s="8" t="s">
        <v>46</v>
      </c>
      <c r="G20" s="8">
        <v>4</v>
      </c>
      <c r="H20" s="13"/>
      <c r="I20" s="8"/>
    </row>
    <row r="21" spans="1:9" x14ac:dyDescent="0.2">
      <c r="A21" s="15"/>
      <c r="B21" s="8">
        <v>20</v>
      </c>
      <c r="C21" s="8" t="s">
        <v>348</v>
      </c>
      <c r="D21" s="21" t="s">
        <v>451</v>
      </c>
      <c r="E21" s="9" t="s">
        <v>49</v>
      </c>
      <c r="F21" s="8" t="s">
        <v>46</v>
      </c>
      <c r="G21" s="8">
        <v>4</v>
      </c>
      <c r="H21" s="13"/>
      <c r="I21" s="8"/>
    </row>
    <row r="22" spans="1:9" x14ac:dyDescent="0.2">
      <c r="A22" s="15"/>
      <c r="B22" s="8">
        <v>21</v>
      </c>
      <c r="C22" s="8" t="s">
        <v>349</v>
      </c>
      <c r="D22" s="21" t="s">
        <v>454</v>
      </c>
      <c r="E22" s="9" t="s">
        <v>8</v>
      </c>
      <c r="F22" s="8" t="s">
        <v>43</v>
      </c>
      <c r="G22" s="8">
        <v>4</v>
      </c>
      <c r="H22" s="13"/>
      <c r="I22" s="8"/>
    </row>
    <row r="23" spans="1:9" x14ac:dyDescent="0.2">
      <c r="A23" s="15"/>
      <c r="B23" s="8">
        <v>22</v>
      </c>
      <c r="C23" s="8" t="s">
        <v>350</v>
      </c>
      <c r="D23" s="21" t="s">
        <v>455</v>
      </c>
      <c r="E23" s="9" t="s">
        <v>49</v>
      </c>
      <c r="F23" s="8" t="s">
        <v>46</v>
      </c>
      <c r="G23" s="8">
        <v>4</v>
      </c>
      <c r="H23" s="13"/>
      <c r="I23" s="8"/>
    </row>
    <row r="24" spans="1:9" x14ac:dyDescent="0.2">
      <c r="A24" s="15"/>
      <c r="B24" s="8">
        <v>23</v>
      </c>
      <c r="C24" s="8" t="s">
        <v>351</v>
      </c>
      <c r="D24" s="21" t="s">
        <v>456</v>
      </c>
      <c r="E24" s="9" t="s">
        <v>49</v>
      </c>
      <c r="F24" s="8" t="s">
        <v>46</v>
      </c>
      <c r="G24" s="8">
        <v>4</v>
      </c>
      <c r="H24" s="13"/>
      <c r="I24" s="8"/>
    </row>
    <row r="25" spans="1:9" x14ac:dyDescent="0.2">
      <c r="A25" s="15"/>
      <c r="B25" s="8">
        <v>24</v>
      </c>
      <c r="C25" s="8" t="s">
        <v>352</v>
      </c>
      <c r="D25" s="21" t="s">
        <v>457</v>
      </c>
      <c r="E25" s="9" t="s">
        <v>49</v>
      </c>
      <c r="F25" s="8" t="s">
        <v>46</v>
      </c>
      <c r="G25" s="8">
        <v>4</v>
      </c>
      <c r="H25" s="13"/>
      <c r="I25" s="8"/>
    </row>
    <row r="26" spans="1:9" x14ac:dyDescent="0.2">
      <c r="A26" s="15"/>
      <c r="B26" s="8">
        <v>25</v>
      </c>
      <c r="C26" s="8" t="s">
        <v>353</v>
      </c>
      <c r="D26" s="21" t="s">
        <v>458</v>
      </c>
      <c r="E26" s="9" t="s">
        <v>8</v>
      </c>
      <c r="F26" s="8" t="s">
        <v>9</v>
      </c>
      <c r="G26" s="8">
        <v>1</v>
      </c>
      <c r="H26" s="13"/>
      <c r="I26" s="8"/>
    </row>
    <row r="27" spans="1:9" x14ac:dyDescent="0.2">
      <c r="A27" s="15"/>
      <c r="B27" s="8">
        <v>26</v>
      </c>
      <c r="C27" s="8" t="s">
        <v>354</v>
      </c>
      <c r="D27" s="21" t="s">
        <v>459</v>
      </c>
      <c r="E27" s="9" t="s">
        <v>8</v>
      </c>
      <c r="F27" s="8" t="s">
        <v>56</v>
      </c>
      <c r="G27" s="8">
        <v>1</v>
      </c>
      <c r="H27" s="13"/>
      <c r="I27" s="8"/>
    </row>
    <row r="28" spans="1:9" x14ac:dyDescent="0.2">
      <c r="A28" s="15"/>
      <c r="B28" s="8">
        <v>27</v>
      </c>
      <c r="C28" s="8" t="s">
        <v>355</v>
      </c>
      <c r="D28" s="21" t="s">
        <v>460</v>
      </c>
      <c r="E28" s="9" t="s">
        <v>27</v>
      </c>
      <c r="F28" s="8" t="s">
        <v>9</v>
      </c>
      <c r="G28" s="8">
        <v>1</v>
      </c>
      <c r="H28" s="13"/>
      <c r="I28" s="8"/>
    </row>
    <row r="29" spans="1:9" x14ac:dyDescent="0.2">
      <c r="A29" s="15"/>
      <c r="B29" s="8">
        <v>28</v>
      </c>
      <c r="C29" s="8" t="s">
        <v>356</v>
      </c>
      <c r="D29" s="21" t="s">
        <v>461</v>
      </c>
      <c r="E29" s="9" t="s">
        <v>8</v>
      </c>
      <c r="F29" s="8" t="s">
        <v>43</v>
      </c>
      <c r="G29" s="8">
        <v>4</v>
      </c>
      <c r="H29" s="13"/>
      <c r="I29" s="8"/>
    </row>
    <row r="30" spans="1:9" x14ac:dyDescent="0.2">
      <c r="A30" s="22"/>
      <c r="B30" s="8">
        <v>29</v>
      </c>
      <c r="C30" s="8" t="s">
        <v>357</v>
      </c>
      <c r="D30" s="21" t="s">
        <v>462</v>
      </c>
      <c r="E30" s="9" t="s">
        <v>8</v>
      </c>
      <c r="F30" s="8" t="s">
        <v>43</v>
      </c>
      <c r="G30" s="8">
        <v>4</v>
      </c>
      <c r="H30" s="13"/>
      <c r="I30" s="8"/>
    </row>
    <row r="31" spans="1:9" x14ac:dyDescent="0.2">
      <c r="A31" s="22"/>
      <c r="B31" s="8">
        <v>30</v>
      </c>
      <c r="C31" s="8" t="s">
        <v>358</v>
      </c>
      <c r="D31" s="21" t="s">
        <v>463</v>
      </c>
      <c r="E31" s="12">
        <v>1E-4</v>
      </c>
      <c r="F31" s="8" t="s">
        <v>61</v>
      </c>
      <c r="G31" s="8">
        <v>2</v>
      </c>
      <c r="H31" s="13"/>
      <c r="I31" s="8"/>
    </row>
    <row r="32" spans="1:9" x14ac:dyDescent="0.2">
      <c r="A32" s="22"/>
      <c r="B32" s="8">
        <v>31</v>
      </c>
      <c r="C32" s="8" t="s">
        <v>359</v>
      </c>
      <c r="D32" s="21" t="s">
        <v>464</v>
      </c>
      <c r="E32" s="9" t="s">
        <v>8</v>
      </c>
      <c r="F32" s="8" t="s">
        <v>22</v>
      </c>
      <c r="G32" s="8">
        <v>8</v>
      </c>
      <c r="H32" s="13"/>
      <c r="I32" s="8"/>
    </row>
    <row r="33" spans="1:9" x14ac:dyDescent="0.2">
      <c r="A33" s="22"/>
      <c r="B33" s="8">
        <v>32</v>
      </c>
      <c r="C33" s="13" t="s">
        <v>360</v>
      </c>
      <c r="D33" s="21" t="s">
        <v>465</v>
      </c>
      <c r="E33" s="9" t="s">
        <v>49</v>
      </c>
      <c r="F33" s="8" t="s">
        <v>46</v>
      </c>
      <c r="G33" s="8">
        <v>4</v>
      </c>
      <c r="H33" s="13"/>
      <c r="I33" s="13"/>
    </row>
    <row r="34" spans="1:9" x14ac:dyDescent="0.2">
      <c r="A34" s="22"/>
      <c r="B34" s="8">
        <v>33</v>
      </c>
      <c r="C34" s="13" t="s">
        <v>361</v>
      </c>
      <c r="D34" s="21" t="s">
        <v>466</v>
      </c>
      <c r="E34" s="9" t="s">
        <v>49</v>
      </c>
      <c r="F34" s="8" t="s">
        <v>46</v>
      </c>
      <c r="G34" s="8">
        <v>4</v>
      </c>
      <c r="H34" s="13"/>
      <c r="I34" s="13"/>
    </row>
    <row r="35" spans="1:9" x14ac:dyDescent="0.2">
      <c r="A35" s="22"/>
      <c r="B35" s="8">
        <v>34</v>
      </c>
      <c r="C35" s="13" t="s">
        <v>362</v>
      </c>
      <c r="D35" s="21" t="s">
        <v>467</v>
      </c>
      <c r="E35" s="9" t="s">
        <v>49</v>
      </c>
      <c r="F35" s="8" t="s">
        <v>46</v>
      </c>
      <c r="G35" s="8">
        <v>4</v>
      </c>
      <c r="H35" s="13"/>
      <c r="I35" s="13"/>
    </row>
    <row r="36" spans="1:9" x14ac:dyDescent="0.2">
      <c r="A36" s="22"/>
      <c r="B36" s="8">
        <v>35</v>
      </c>
      <c r="C36" s="13" t="s">
        <v>363</v>
      </c>
      <c r="D36" s="21" t="s">
        <v>468</v>
      </c>
      <c r="E36" s="9" t="s">
        <v>49</v>
      </c>
      <c r="F36" s="8" t="s">
        <v>61</v>
      </c>
      <c r="G36" s="8">
        <v>2</v>
      </c>
      <c r="H36" s="13"/>
      <c r="I36" s="13"/>
    </row>
    <row r="37" spans="1:9" x14ac:dyDescent="0.2">
      <c r="A37" s="22"/>
      <c r="B37" s="8">
        <v>36</v>
      </c>
      <c r="C37" s="13" t="s">
        <v>364</v>
      </c>
      <c r="D37" s="21" t="s">
        <v>469</v>
      </c>
      <c r="E37" s="9" t="s">
        <v>49</v>
      </c>
      <c r="F37" s="8" t="s">
        <v>61</v>
      </c>
      <c r="G37" s="8">
        <v>2</v>
      </c>
      <c r="H37" s="13"/>
      <c r="I37" s="13"/>
    </row>
    <row r="38" spans="1:9" x14ac:dyDescent="0.2">
      <c r="A38" s="22"/>
      <c r="B38" s="8">
        <v>37</v>
      </c>
      <c r="C38" s="13" t="s">
        <v>365</v>
      </c>
      <c r="D38" s="21" t="s">
        <v>470</v>
      </c>
      <c r="E38" s="9" t="s">
        <v>69</v>
      </c>
      <c r="F38" s="8" t="s">
        <v>61</v>
      </c>
      <c r="G38" s="8">
        <v>2</v>
      </c>
      <c r="H38" s="13"/>
      <c r="I38" s="13"/>
    </row>
    <row r="39" spans="1:9" x14ac:dyDescent="0.2">
      <c r="A39" s="22"/>
      <c r="B39" s="8">
        <v>38</v>
      </c>
      <c r="C39" s="13" t="s">
        <v>366</v>
      </c>
      <c r="D39" s="21" t="s">
        <v>471</v>
      </c>
      <c r="E39" s="9" t="s">
        <v>49</v>
      </c>
      <c r="F39" s="8" t="s">
        <v>61</v>
      </c>
      <c r="G39" s="8">
        <v>2</v>
      </c>
      <c r="H39" s="8"/>
      <c r="I39" s="13"/>
    </row>
    <row r="40" spans="1:9" x14ac:dyDescent="0.2">
      <c r="A40" s="22"/>
      <c r="B40" s="8">
        <v>39</v>
      </c>
      <c r="C40" s="13" t="s">
        <v>496</v>
      </c>
      <c r="D40" s="8" t="s">
        <v>211</v>
      </c>
      <c r="E40" s="8" t="s">
        <v>9</v>
      </c>
      <c r="F40" s="8" t="s">
        <v>9</v>
      </c>
      <c r="G40" s="8">
        <v>1</v>
      </c>
      <c r="H40" s="8" t="s">
        <v>215</v>
      </c>
      <c r="I40" s="13"/>
    </row>
    <row r="41" spans="1:9" x14ac:dyDescent="0.2">
      <c r="A41" s="22"/>
      <c r="B41" s="8">
        <v>40</v>
      </c>
      <c r="C41" s="13" t="s">
        <v>367</v>
      </c>
      <c r="D41" s="8" t="s">
        <v>212</v>
      </c>
      <c r="E41" s="9" t="s">
        <v>8</v>
      </c>
      <c r="F41" s="8" t="s">
        <v>214</v>
      </c>
      <c r="G41" s="8">
        <f>4*15</f>
        <v>60</v>
      </c>
      <c r="H41" s="8" t="s">
        <v>216</v>
      </c>
      <c r="I41" s="13"/>
    </row>
    <row r="42" spans="1:9" x14ac:dyDescent="0.2">
      <c r="A42" s="22"/>
      <c r="B42" s="8">
        <v>41</v>
      </c>
      <c r="C42" s="13" t="s">
        <v>368</v>
      </c>
      <c r="D42" s="8" t="s">
        <v>213</v>
      </c>
      <c r="E42" s="9" t="s">
        <v>8</v>
      </c>
      <c r="F42" s="8" t="s">
        <v>214</v>
      </c>
      <c r="G42" s="8">
        <f>G41</f>
        <v>60</v>
      </c>
      <c r="H42" s="8" t="s">
        <v>216</v>
      </c>
      <c r="I42" s="13"/>
    </row>
    <row r="43" spans="1:9" x14ac:dyDescent="0.2">
      <c r="A43" s="22"/>
      <c r="B43" s="8">
        <v>42</v>
      </c>
      <c r="C43" s="13" t="s">
        <v>369</v>
      </c>
      <c r="D43" s="13" t="s">
        <v>472</v>
      </c>
      <c r="E43" s="9" t="s">
        <v>8</v>
      </c>
      <c r="F43" s="8" t="s">
        <v>43</v>
      </c>
      <c r="G43" s="8">
        <v>4</v>
      </c>
      <c r="H43" s="8" t="s">
        <v>502</v>
      </c>
      <c r="I43" s="13"/>
    </row>
    <row r="44" spans="1:9" x14ac:dyDescent="0.2">
      <c r="A44" s="22"/>
      <c r="B44" s="8">
        <v>43</v>
      </c>
      <c r="C44" s="13" t="s">
        <v>370</v>
      </c>
      <c r="D44" s="13" t="s">
        <v>473</v>
      </c>
      <c r="E44" s="9" t="s">
        <v>45</v>
      </c>
      <c r="F44" s="8" t="s">
        <v>46</v>
      </c>
      <c r="G44" s="8">
        <v>4</v>
      </c>
      <c r="H44" s="8"/>
      <c r="I44" s="13"/>
    </row>
    <row r="45" spans="1:9" x14ac:dyDescent="0.2">
      <c r="A45" s="22"/>
      <c r="B45" s="8">
        <v>44</v>
      </c>
      <c r="C45" s="13" t="s">
        <v>371</v>
      </c>
      <c r="D45" s="13" t="s">
        <v>474</v>
      </c>
      <c r="E45" s="9" t="s">
        <v>45</v>
      </c>
      <c r="F45" s="8" t="s">
        <v>46</v>
      </c>
      <c r="G45" s="8">
        <v>4</v>
      </c>
      <c r="H45" s="13"/>
      <c r="I45" s="13"/>
    </row>
    <row r="46" spans="1:9" x14ac:dyDescent="0.2">
      <c r="A46" s="22"/>
      <c r="B46" s="8">
        <v>45</v>
      </c>
      <c r="C46" s="13" t="s">
        <v>372</v>
      </c>
      <c r="D46" s="13" t="s">
        <v>475</v>
      </c>
      <c r="E46" s="9" t="s">
        <v>49</v>
      </c>
      <c r="F46" s="8" t="s">
        <v>46</v>
      </c>
      <c r="G46" s="8">
        <v>4</v>
      </c>
      <c r="H46" s="13"/>
      <c r="I46" s="13"/>
    </row>
    <row r="47" spans="1:9" x14ac:dyDescent="0.2">
      <c r="A47" s="22"/>
      <c r="B47" s="8">
        <v>46</v>
      </c>
      <c r="C47" s="13" t="s">
        <v>373</v>
      </c>
      <c r="D47" s="13" t="s">
        <v>472</v>
      </c>
      <c r="E47" s="9" t="s">
        <v>8</v>
      </c>
      <c r="F47" s="8" t="s">
        <v>43</v>
      </c>
      <c r="G47" s="8">
        <v>4</v>
      </c>
      <c r="H47" s="13"/>
      <c r="I47" s="13"/>
    </row>
    <row r="48" spans="1:9" x14ac:dyDescent="0.2">
      <c r="A48" s="22"/>
      <c r="B48" s="8">
        <v>47</v>
      </c>
      <c r="C48" s="13" t="s">
        <v>374</v>
      </c>
      <c r="D48" s="13" t="s">
        <v>476</v>
      </c>
      <c r="E48" s="9" t="s">
        <v>49</v>
      </c>
      <c r="F48" s="8" t="s">
        <v>46</v>
      </c>
      <c r="G48" s="8">
        <v>4</v>
      </c>
      <c r="H48" s="13"/>
      <c r="I48" s="13"/>
    </row>
    <row r="49" spans="1:9" x14ac:dyDescent="0.2">
      <c r="A49" s="22"/>
      <c r="B49" s="8">
        <v>48</v>
      </c>
      <c r="C49" s="13" t="s">
        <v>375</v>
      </c>
      <c r="D49" s="13" t="s">
        <v>477</v>
      </c>
      <c r="E49" s="9" t="s">
        <v>49</v>
      </c>
      <c r="F49" s="8" t="s">
        <v>46</v>
      </c>
      <c r="G49" s="8">
        <v>4</v>
      </c>
      <c r="H49" s="13"/>
      <c r="I49" s="13"/>
    </row>
    <row r="50" spans="1:9" x14ac:dyDescent="0.2">
      <c r="A50" s="22"/>
      <c r="B50" s="8">
        <v>49</v>
      </c>
      <c r="C50" s="13" t="s">
        <v>376</v>
      </c>
      <c r="D50" s="13" t="s">
        <v>475</v>
      </c>
      <c r="E50" s="9" t="s">
        <v>49</v>
      </c>
      <c r="F50" s="8" t="s">
        <v>46</v>
      </c>
      <c r="G50" s="8">
        <v>4</v>
      </c>
      <c r="H50" s="13"/>
      <c r="I50" s="13"/>
    </row>
    <row r="51" spans="1:9" x14ac:dyDescent="0.2">
      <c r="A51" s="22"/>
      <c r="B51" s="8">
        <v>50</v>
      </c>
      <c r="C51" s="13" t="s">
        <v>377</v>
      </c>
      <c r="D51" s="13" t="s">
        <v>478</v>
      </c>
      <c r="E51" s="9" t="s">
        <v>8</v>
      </c>
      <c r="F51" s="8" t="s">
        <v>43</v>
      </c>
      <c r="G51" s="8">
        <v>4</v>
      </c>
      <c r="H51" s="13"/>
      <c r="I51" s="13"/>
    </row>
    <row r="52" spans="1:9" x14ac:dyDescent="0.2">
      <c r="A52" s="22"/>
      <c r="B52" s="8">
        <v>51</v>
      </c>
      <c r="C52" s="13" t="s">
        <v>378</v>
      </c>
      <c r="D52" s="13" t="s">
        <v>479</v>
      </c>
      <c r="E52" s="9" t="s">
        <v>49</v>
      </c>
      <c r="F52" s="8" t="s">
        <v>46</v>
      </c>
      <c r="G52" s="8">
        <v>4</v>
      </c>
      <c r="H52" s="13"/>
      <c r="I52" s="13"/>
    </row>
    <row r="53" spans="1:9" x14ac:dyDescent="0.2">
      <c r="A53" s="22"/>
      <c r="B53" s="8">
        <v>52</v>
      </c>
      <c r="C53" s="13" t="s">
        <v>379</v>
      </c>
      <c r="D53" s="13" t="s">
        <v>480</v>
      </c>
      <c r="E53" s="9" t="s">
        <v>49</v>
      </c>
      <c r="F53" s="8" t="s">
        <v>46</v>
      </c>
      <c r="G53" s="8">
        <v>4</v>
      </c>
      <c r="H53" s="13"/>
      <c r="I53" s="13"/>
    </row>
    <row r="54" spans="1:9" x14ac:dyDescent="0.2">
      <c r="A54" s="22"/>
      <c r="B54" s="8">
        <v>53</v>
      </c>
      <c r="C54" s="13" t="s">
        <v>380</v>
      </c>
      <c r="D54" s="13" t="s">
        <v>481</v>
      </c>
      <c r="E54" s="9" t="s">
        <v>49</v>
      </c>
      <c r="F54" s="8" t="s">
        <v>46</v>
      </c>
      <c r="G54" s="8">
        <v>4</v>
      </c>
      <c r="H54" s="13"/>
      <c r="I54" s="13"/>
    </row>
    <row r="55" spans="1:9" x14ac:dyDescent="0.2">
      <c r="A55" s="22"/>
      <c r="B55" s="8">
        <v>54</v>
      </c>
      <c r="C55" s="13" t="s">
        <v>381</v>
      </c>
      <c r="D55" s="13" t="s">
        <v>482</v>
      </c>
      <c r="E55" s="9" t="s">
        <v>8</v>
      </c>
      <c r="F55" s="8" t="s">
        <v>9</v>
      </c>
      <c r="G55" s="8">
        <v>1</v>
      </c>
      <c r="H55" s="13"/>
      <c r="I55" s="13"/>
    </row>
    <row r="56" spans="1:9" x14ac:dyDescent="0.2">
      <c r="A56" s="22"/>
      <c r="B56" s="8">
        <v>55</v>
      </c>
      <c r="C56" s="13" t="s">
        <v>382</v>
      </c>
      <c r="D56" s="13" t="s">
        <v>483</v>
      </c>
      <c r="E56" s="9" t="s">
        <v>8</v>
      </c>
      <c r="F56" s="8" t="s">
        <v>56</v>
      </c>
      <c r="G56" s="8">
        <v>1</v>
      </c>
      <c r="H56" s="13"/>
      <c r="I56" s="13"/>
    </row>
    <row r="57" spans="1:9" x14ac:dyDescent="0.2">
      <c r="A57" s="22"/>
      <c r="B57" s="8">
        <v>56</v>
      </c>
      <c r="C57" s="13" t="s">
        <v>383</v>
      </c>
      <c r="D57" s="13" t="s">
        <v>484</v>
      </c>
      <c r="E57" s="9" t="s">
        <v>27</v>
      </c>
      <c r="F57" s="8" t="s">
        <v>9</v>
      </c>
      <c r="G57" s="8">
        <v>1</v>
      </c>
      <c r="H57" s="13"/>
      <c r="I57" s="13"/>
    </row>
    <row r="58" spans="1:9" x14ac:dyDescent="0.2">
      <c r="A58" s="22"/>
      <c r="B58" s="8">
        <v>57</v>
      </c>
      <c r="C58" s="13" t="s">
        <v>384</v>
      </c>
      <c r="D58" s="13" t="s">
        <v>485</v>
      </c>
      <c r="E58" s="9" t="s">
        <v>8</v>
      </c>
      <c r="F58" s="8" t="s">
        <v>43</v>
      </c>
      <c r="G58" s="8">
        <v>4</v>
      </c>
      <c r="H58" s="13"/>
      <c r="I58" s="13"/>
    </row>
    <row r="59" spans="1:9" x14ac:dyDescent="0.2">
      <c r="A59" s="22"/>
      <c r="B59" s="8">
        <v>58</v>
      </c>
      <c r="C59" s="13" t="s">
        <v>385</v>
      </c>
      <c r="D59" s="13" t="s">
        <v>486</v>
      </c>
      <c r="E59" s="9" t="s">
        <v>8</v>
      </c>
      <c r="F59" s="8" t="s">
        <v>43</v>
      </c>
      <c r="G59" s="8">
        <v>4</v>
      </c>
      <c r="H59" s="13"/>
      <c r="I59" s="13"/>
    </row>
    <row r="60" spans="1:9" x14ac:dyDescent="0.2">
      <c r="A60" s="22"/>
      <c r="B60" s="8">
        <v>59</v>
      </c>
      <c r="C60" s="13" t="s">
        <v>386</v>
      </c>
      <c r="D60" s="13" t="s">
        <v>487</v>
      </c>
      <c r="E60" s="12">
        <v>1E-4</v>
      </c>
      <c r="F60" s="8" t="s">
        <v>61</v>
      </c>
      <c r="G60" s="8">
        <v>2</v>
      </c>
      <c r="H60" s="13"/>
      <c r="I60" s="13"/>
    </row>
    <row r="61" spans="1:9" x14ac:dyDescent="0.2">
      <c r="A61" s="22"/>
      <c r="B61" s="8">
        <v>60</v>
      </c>
      <c r="C61" s="13" t="s">
        <v>387</v>
      </c>
      <c r="D61" s="13" t="s">
        <v>488</v>
      </c>
      <c r="E61" s="9" t="s">
        <v>8</v>
      </c>
      <c r="F61" s="8" t="s">
        <v>22</v>
      </c>
      <c r="G61" s="8">
        <v>8</v>
      </c>
      <c r="H61" s="13"/>
      <c r="I61" s="13"/>
    </row>
    <row r="62" spans="1:9" x14ac:dyDescent="0.2">
      <c r="A62" s="22"/>
      <c r="B62" s="8">
        <v>61</v>
      </c>
      <c r="C62" s="13" t="s">
        <v>388</v>
      </c>
      <c r="D62" s="13" t="s">
        <v>489</v>
      </c>
      <c r="E62" s="9" t="s">
        <v>49</v>
      </c>
      <c r="F62" s="8" t="s">
        <v>46</v>
      </c>
      <c r="G62" s="8">
        <v>4</v>
      </c>
      <c r="H62" s="13"/>
      <c r="I62" s="13"/>
    </row>
    <row r="63" spans="1:9" x14ac:dyDescent="0.2">
      <c r="A63" s="22"/>
      <c r="B63" s="8">
        <v>62</v>
      </c>
      <c r="C63" s="13" t="s">
        <v>389</v>
      </c>
      <c r="D63" s="13" t="s">
        <v>490</v>
      </c>
      <c r="E63" s="9" t="s">
        <v>49</v>
      </c>
      <c r="F63" s="8" t="s">
        <v>46</v>
      </c>
      <c r="G63" s="8">
        <v>4</v>
      </c>
      <c r="H63" s="13"/>
      <c r="I63" s="13"/>
    </row>
    <row r="64" spans="1:9" x14ac:dyDescent="0.2">
      <c r="A64" s="22"/>
      <c r="B64" s="8">
        <v>63</v>
      </c>
      <c r="C64" s="13" t="s">
        <v>390</v>
      </c>
      <c r="D64" s="13" t="s">
        <v>491</v>
      </c>
      <c r="E64" s="9" t="s">
        <v>49</v>
      </c>
      <c r="F64" s="8" t="s">
        <v>46</v>
      </c>
      <c r="G64" s="8">
        <v>4</v>
      </c>
      <c r="H64" s="13"/>
      <c r="I64" s="13"/>
    </row>
    <row r="65" spans="1:9" x14ac:dyDescent="0.2">
      <c r="A65" s="22"/>
      <c r="B65" s="8">
        <v>64</v>
      </c>
      <c r="C65" s="13" t="s">
        <v>391</v>
      </c>
      <c r="D65" s="13" t="s">
        <v>492</v>
      </c>
      <c r="E65" s="9" t="s">
        <v>49</v>
      </c>
      <c r="F65" s="8" t="s">
        <v>61</v>
      </c>
      <c r="G65" s="8">
        <v>2</v>
      </c>
      <c r="H65" s="13"/>
      <c r="I65" s="13"/>
    </row>
    <row r="66" spans="1:9" x14ac:dyDescent="0.2">
      <c r="A66" s="22"/>
      <c r="B66" s="8">
        <v>65</v>
      </c>
      <c r="C66" s="13" t="s">
        <v>392</v>
      </c>
      <c r="D66" s="13" t="s">
        <v>493</v>
      </c>
      <c r="E66" s="9" t="s">
        <v>49</v>
      </c>
      <c r="F66" s="8" t="s">
        <v>61</v>
      </c>
      <c r="G66" s="8">
        <v>2</v>
      </c>
      <c r="H66" s="13"/>
      <c r="I66" s="13"/>
    </row>
    <row r="67" spans="1:9" x14ac:dyDescent="0.2">
      <c r="A67" s="22"/>
      <c r="B67" s="8">
        <v>66</v>
      </c>
      <c r="C67" s="13" t="s">
        <v>393</v>
      </c>
      <c r="D67" s="13" t="s">
        <v>494</v>
      </c>
      <c r="E67" s="9" t="s">
        <v>69</v>
      </c>
      <c r="F67" s="8" t="s">
        <v>61</v>
      </c>
      <c r="G67" s="8">
        <v>2</v>
      </c>
      <c r="H67" s="13"/>
      <c r="I67" s="13"/>
    </row>
    <row r="68" spans="1:9" x14ac:dyDescent="0.2">
      <c r="A68" s="22"/>
      <c r="B68" s="8">
        <v>67</v>
      </c>
      <c r="C68" s="13" t="s">
        <v>394</v>
      </c>
      <c r="D68" s="13" t="s">
        <v>495</v>
      </c>
      <c r="E68" s="9" t="s">
        <v>49</v>
      </c>
      <c r="F68" s="8" t="s">
        <v>61</v>
      </c>
      <c r="G68" s="8">
        <v>2</v>
      </c>
      <c r="H68" s="13"/>
      <c r="I68" s="13"/>
    </row>
    <row r="69" spans="1:9" x14ac:dyDescent="0.2">
      <c r="A69" s="22"/>
      <c r="B69" s="8">
        <v>68</v>
      </c>
      <c r="C69" s="13" t="s">
        <v>395</v>
      </c>
      <c r="D69" s="13" t="s">
        <v>396</v>
      </c>
      <c r="E69" s="9" t="s">
        <v>8</v>
      </c>
      <c r="F69" s="8" t="s">
        <v>43</v>
      </c>
      <c r="G69" s="8">
        <v>4</v>
      </c>
      <c r="H69" s="8" t="s">
        <v>503</v>
      </c>
      <c r="I69" s="13"/>
    </row>
    <row r="70" spans="1:9" x14ac:dyDescent="0.2">
      <c r="A70" s="22"/>
      <c r="B70" s="8">
        <v>69</v>
      </c>
      <c r="C70" s="13" t="s">
        <v>397</v>
      </c>
      <c r="D70" s="13" t="s">
        <v>398</v>
      </c>
      <c r="E70" s="9" t="s">
        <v>45</v>
      </c>
      <c r="F70" s="8" t="s">
        <v>46</v>
      </c>
      <c r="G70" s="8">
        <v>4</v>
      </c>
      <c r="H70" s="13"/>
      <c r="I70" s="13"/>
    </row>
    <row r="71" spans="1:9" x14ac:dyDescent="0.2">
      <c r="A71" s="22"/>
      <c r="B71" s="8">
        <v>70</v>
      </c>
      <c r="C71" s="13" t="s">
        <v>399</v>
      </c>
      <c r="D71" s="13" t="s">
        <v>400</v>
      </c>
      <c r="E71" s="9" t="s">
        <v>45</v>
      </c>
      <c r="F71" s="8" t="s">
        <v>46</v>
      </c>
      <c r="G71" s="8">
        <v>4</v>
      </c>
      <c r="H71" s="13"/>
      <c r="I71" s="13"/>
    </row>
    <row r="72" spans="1:9" x14ac:dyDescent="0.2">
      <c r="A72" s="22"/>
      <c r="B72" s="8">
        <v>71</v>
      </c>
      <c r="C72" s="13" t="s">
        <v>401</v>
      </c>
      <c r="D72" s="13" t="s">
        <v>402</v>
      </c>
      <c r="E72" s="9" t="s">
        <v>49</v>
      </c>
      <c r="F72" s="8" t="s">
        <v>46</v>
      </c>
      <c r="G72" s="8">
        <v>4</v>
      </c>
      <c r="H72" s="13"/>
      <c r="I72" s="13"/>
    </row>
    <row r="73" spans="1:9" x14ac:dyDescent="0.2">
      <c r="A73" s="22"/>
      <c r="B73" s="8">
        <v>72</v>
      </c>
      <c r="C73" s="13" t="s">
        <v>403</v>
      </c>
      <c r="D73" s="13" t="s">
        <v>396</v>
      </c>
      <c r="E73" s="9" t="s">
        <v>8</v>
      </c>
      <c r="F73" s="8" t="s">
        <v>43</v>
      </c>
      <c r="G73" s="8">
        <v>4</v>
      </c>
      <c r="H73" s="13"/>
      <c r="I73" s="13"/>
    </row>
    <row r="74" spans="1:9" x14ac:dyDescent="0.2">
      <c r="A74" s="22"/>
      <c r="B74" s="8">
        <v>73</v>
      </c>
      <c r="C74" s="13" t="s">
        <v>404</v>
      </c>
      <c r="D74" s="13" t="s">
        <v>405</v>
      </c>
      <c r="E74" s="9" t="s">
        <v>49</v>
      </c>
      <c r="F74" s="8" t="s">
        <v>46</v>
      </c>
      <c r="G74" s="8">
        <v>4</v>
      </c>
      <c r="H74" s="13"/>
      <c r="I74" s="13"/>
    </row>
    <row r="75" spans="1:9" x14ac:dyDescent="0.2">
      <c r="A75" s="22"/>
      <c r="B75" s="8">
        <v>74</v>
      </c>
      <c r="C75" s="13" t="s">
        <v>406</v>
      </c>
      <c r="D75" s="13" t="s">
        <v>407</v>
      </c>
      <c r="E75" s="9" t="s">
        <v>49</v>
      </c>
      <c r="F75" s="8" t="s">
        <v>46</v>
      </c>
      <c r="G75" s="8">
        <v>4</v>
      </c>
      <c r="H75" s="13"/>
      <c r="I75" s="13"/>
    </row>
    <row r="76" spans="1:9" x14ac:dyDescent="0.2">
      <c r="A76" s="22"/>
      <c r="B76" s="8">
        <v>75</v>
      </c>
      <c r="C76" s="13" t="s">
        <v>408</v>
      </c>
      <c r="D76" s="13" t="s">
        <v>402</v>
      </c>
      <c r="E76" s="9" t="s">
        <v>49</v>
      </c>
      <c r="F76" s="8" t="s">
        <v>46</v>
      </c>
      <c r="G76" s="8">
        <v>4</v>
      </c>
      <c r="H76" s="13"/>
      <c r="I76" s="13"/>
    </row>
    <row r="77" spans="1:9" x14ac:dyDescent="0.2">
      <c r="A77" s="22"/>
      <c r="B77" s="8">
        <v>76</v>
      </c>
      <c r="C77" s="13" t="s">
        <v>409</v>
      </c>
      <c r="D77" s="13" t="s">
        <v>410</v>
      </c>
      <c r="E77" s="9" t="s">
        <v>8</v>
      </c>
      <c r="F77" s="8" t="s">
        <v>43</v>
      </c>
      <c r="G77" s="8">
        <v>4</v>
      </c>
      <c r="H77" s="13"/>
      <c r="I77" s="13"/>
    </row>
    <row r="78" spans="1:9" x14ac:dyDescent="0.2">
      <c r="A78" s="22"/>
      <c r="B78" s="8">
        <v>77</v>
      </c>
      <c r="C78" s="13" t="s">
        <v>411</v>
      </c>
      <c r="D78" s="13" t="s">
        <v>412</v>
      </c>
      <c r="E78" s="9" t="s">
        <v>49</v>
      </c>
      <c r="F78" s="8" t="s">
        <v>46</v>
      </c>
      <c r="G78" s="8">
        <v>4</v>
      </c>
      <c r="H78" s="13"/>
      <c r="I78" s="13"/>
    </row>
    <row r="79" spans="1:9" x14ac:dyDescent="0.2">
      <c r="A79" s="22"/>
      <c r="B79" s="8">
        <v>78</v>
      </c>
      <c r="C79" s="13" t="s">
        <v>413</v>
      </c>
      <c r="D79" s="13" t="s">
        <v>414</v>
      </c>
      <c r="E79" s="9" t="s">
        <v>49</v>
      </c>
      <c r="F79" s="8" t="s">
        <v>46</v>
      </c>
      <c r="G79" s="8">
        <v>4</v>
      </c>
      <c r="H79" s="13"/>
      <c r="I79" s="13"/>
    </row>
    <row r="80" spans="1:9" x14ac:dyDescent="0.2">
      <c r="A80" s="22"/>
      <c r="B80" s="8">
        <v>79</v>
      </c>
      <c r="C80" s="13" t="s">
        <v>415</v>
      </c>
      <c r="D80" s="13" t="s">
        <v>416</v>
      </c>
      <c r="E80" s="9" t="s">
        <v>49</v>
      </c>
      <c r="F80" s="8" t="s">
        <v>46</v>
      </c>
      <c r="G80" s="8">
        <v>4</v>
      </c>
      <c r="H80" s="13"/>
      <c r="I80" s="13"/>
    </row>
    <row r="81" spans="1:9" x14ac:dyDescent="0.2">
      <c r="A81" s="22"/>
      <c r="B81" s="8">
        <v>80</v>
      </c>
      <c r="C81" s="13" t="s">
        <v>417</v>
      </c>
      <c r="D81" s="13" t="s">
        <v>418</v>
      </c>
      <c r="E81" s="9" t="s">
        <v>8</v>
      </c>
      <c r="F81" s="8" t="s">
        <v>9</v>
      </c>
      <c r="G81" s="8">
        <v>1</v>
      </c>
      <c r="H81" s="13"/>
      <c r="I81" s="13"/>
    </row>
    <row r="82" spans="1:9" x14ac:dyDescent="0.2">
      <c r="A82" s="22"/>
      <c r="B82" s="8">
        <v>81</v>
      </c>
      <c r="C82" s="13" t="s">
        <v>419</v>
      </c>
      <c r="D82" s="13" t="s">
        <v>420</v>
      </c>
      <c r="E82" s="9" t="s">
        <v>8</v>
      </c>
      <c r="F82" s="8" t="s">
        <v>56</v>
      </c>
      <c r="G82" s="8">
        <v>1</v>
      </c>
      <c r="H82" s="13"/>
      <c r="I82" s="13"/>
    </row>
    <row r="83" spans="1:9" x14ac:dyDescent="0.2">
      <c r="A83" s="22"/>
      <c r="B83" s="8">
        <v>82</v>
      </c>
      <c r="C83" s="13" t="s">
        <v>421</v>
      </c>
      <c r="D83" s="13" t="s">
        <v>422</v>
      </c>
      <c r="E83" s="9" t="s">
        <v>27</v>
      </c>
      <c r="F83" s="8" t="s">
        <v>9</v>
      </c>
      <c r="G83" s="8">
        <v>1</v>
      </c>
      <c r="H83" s="13"/>
      <c r="I83" s="13"/>
    </row>
    <row r="84" spans="1:9" x14ac:dyDescent="0.2">
      <c r="A84" s="22"/>
      <c r="B84" s="8">
        <v>83</v>
      </c>
      <c r="C84" s="13" t="s">
        <v>423</v>
      </c>
      <c r="D84" s="13" t="s">
        <v>424</v>
      </c>
      <c r="E84" s="9" t="s">
        <v>8</v>
      </c>
      <c r="F84" s="8" t="s">
        <v>43</v>
      </c>
      <c r="G84" s="8">
        <v>4</v>
      </c>
      <c r="H84" s="13"/>
      <c r="I84" s="13"/>
    </row>
    <row r="85" spans="1:9" x14ac:dyDescent="0.2">
      <c r="A85" s="22"/>
      <c r="B85" s="8">
        <v>84</v>
      </c>
      <c r="C85" s="13" t="s">
        <v>425</v>
      </c>
      <c r="D85" s="13" t="s">
        <v>426</v>
      </c>
      <c r="E85" s="9" t="s">
        <v>8</v>
      </c>
      <c r="F85" s="8" t="s">
        <v>43</v>
      </c>
      <c r="G85" s="8">
        <v>4</v>
      </c>
      <c r="H85" s="13"/>
      <c r="I85" s="13"/>
    </row>
    <row r="86" spans="1:9" x14ac:dyDescent="0.2">
      <c r="A86" s="22"/>
      <c r="B86" s="8">
        <v>85</v>
      </c>
      <c r="C86" s="13" t="s">
        <v>427</v>
      </c>
      <c r="D86" s="13" t="s">
        <v>428</v>
      </c>
      <c r="E86" s="12">
        <v>1E-4</v>
      </c>
      <c r="F86" s="8" t="s">
        <v>61</v>
      </c>
      <c r="G86" s="8">
        <v>2</v>
      </c>
      <c r="H86" s="13"/>
      <c r="I86" s="13"/>
    </row>
    <row r="87" spans="1:9" x14ac:dyDescent="0.2">
      <c r="A87" s="22"/>
      <c r="B87" s="8">
        <v>86</v>
      </c>
      <c r="C87" s="13" t="s">
        <v>429</v>
      </c>
      <c r="D87" s="13" t="s">
        <v>430</v>
      </c>
      <c r="E87" s="9" t="s">
        <v>8</v>
      </c>
      <c r="F87" s="8" t="s">
        <v>22</v>
      </c>
      <c r="G87" s="8">
        <v>8</v>
      </c>
      <c r="H87" s="13"/>
      <c r="I87" s="13"/>
    </row>
    <row r="88" spans="1:9" x14ac:dyDescent="0.2">
      <c r="A88" s="22"/>
      <c r="B88" s="8">
        <v>87</v>
      </c>
      <c r="C88" s="13" t="s">
        <v>431</v>
      </c>
      <c r="D88" s="13" t="s">
        <v>432</v>
      </c>
      <c r="E88" s="9" t="s">
        <v>49</v>
      </c>
      <c r="F88" s="8" t="s">
        <v>46</v>
      </c>
      <c r="G88" s="8">
        <v>4</v>
      </c>
      <c r="H88" s="13"/>
      <c r="I88" s="13"/>
    </row>
    <row r="89" spans="1:9" x14ac:dyDescent="0.2">
      <c r="A89" s="22"/>
      <c r="B89" s="8">
        <v>88</v>
      </c>
      <c r="C89" s="13" t="s">
        <v>433</v>
      </c>
      <c r="D89" s="13" t="s">
        <v>434</v>
      </c>
      <c r="E89" s="9" t="s">
        <v>49</v>
      </c>
      <c r="F89" s="8" t="s">
        <v>46</v>
      </c>
      <c r="G89" s="8">
        <v>4</v>
      </c>
      <c r="H89" s="13"/>
      <c r="I89" s="13"/>
    </row>
    <row r="90" spans="1:9" x14ac:dyDescent="0.2">
      <c r="A90" s="22"/>
      <c r="B90" s="8">
        <v>89</v>
      </c>
      <c r="C90" s="13" t="s">
        <v>435</v>
      </c>
      <c r="D90" s="13" t="s">
        <v>436</v>
      </c>
      <c r="E90" s="9" t="s">
        <v>49</v>
      </c>
      <c r="F90" s="8" t="s">
        <v>46</v>
      </c>
      <c r="G90" s="8">
        <v>4</v>
      </c>
      <c r="H90" s="13"/>
      <c r="I90" s="13"/>
    </row>
    <row r="91" spans="1:9" x14ac:dyDescent="0.2">
      <c r="A91" s="22"/>
      <c r="B91" s="8">
        <v>90</v>
      </c>
      <c r="C91" s="13" t="s">
        <v>437</v>
      </c>
      <c r="D91" s="13" t="s">
        <v>438</v>
      </c>
      <c r="E91" s="9" t="s">
        <v>49</v>
      </c>
      <c r="F91" s="8" t="s">
        <v>61</v>
      </c>
      <c r="G91" s="8">
        <v>2</v>
      </c>
      <c r="H91" s="13"/>
      <c r="I91" s="13"/>
    </row>
    <row r="92" spans="1:9" x14ac:dyDescent="0.2">
      <c r="A92" s="22"/>
      <c r="B92" s="8">
        <v>91</v>
      </c>
      <c r="C92" s="13" t="s">
        <v>439</v>
      </c>
      <c r="D92" s="13" t="s">
        <v>440</v>
      </c>
      <c r="E92" s="9" t="s">
        <v>49</v>
      </c>
      <c r="F92" s="8" t="s">
        <v>61</v>
      </c>
      <c r="G92" s="8">
        <v>2</v>
      </c>
      <c r="H92" s="13"/>
      <c r="I92" s="13"/>
    </row>
    <row r="93" spans="1:9" x14ac:dyDescent="0.2">
      <c r="A93" s="22"/>
      <c r="B93" s="8">
        <v>92</v>
      </c>
      <c r="C93" s="13" t="s">
        <v>441</v>
      </c>
      <c r="D93" s="13" t="s">
        <v>442</v>
      </c>
      <c r="E93" s="9" t="s">
        <v>69</v>
      </c>
      <c r="F93" s="8" t="s">
        <v>61</v>
      </c>
      <c r="G93" s="8">
        <v>2</v>
      </c>
      <c r="H93" s="13"/>
      <c r="I93" s="13"/>
    </row>
    <row r="94" spans="1:9" x14ac:dyDescent="0.2">
      <c r="A94" s="22"/>
      <c r="B94" s="8">
        <v>93</v>
      </c>
      <c r="C94" s="13" t="s">
        <v>443</v>
      </c>
      <c r="D94" s="13" t="s">
        <v>444</v>
      </c>
      <c r="E94" s="9" t="s">
        <v>49</v>
      </c>
      <c r="F94" s="8" t="s">
        <v>61</v>
      </c>
      <c r="G94" s="8">
        <v>2</v>
      </c>
      <c r="H94" s="13"/>
      <c r="I94" s="13"/>
    </row>
    <row r="95" spans="1:9" x14ac:dyDescent="0.2">
      <c r="A95" s="22"/>
      <c r="B95" s="8">
        <v>94</v>
      </c>
      <c r="C95" s="13" t="s">
        <v>236</v>
      </c>
      <c r="D95" s="8" t="s">
        <v>86</v>
      </c>
      <c r="E95" s="8" t="s">
        <v>121</v>
      </c>
      <c r="F95" s="8" t="s">
        <v>122</v>
      </c>
      <c r="G95" s="8">
        <v>2</v>
      </c>
      <c r="H95" s="8"/>
      <c r="I95" s="13"/>
    </row>
    <row r="96" spans="1:9" x14ac:dyDescent="0.2">
      <c r="A96" s="22"/>
      <c r="B96" s="8">
        <v>95</v>
      </c>
      <c r="C96" s="13" t="s">
        <v>237</v>
      </c>
      <c r="D96" s="8" t="s">
        <v>87</v>
      </c>
      <c r="E96" s="8" t="s">
        <v>121</v>
      </c>
      <c r="F96" s="8" t="s">
        <v>122</v>
      </c>
      <c r="G96" s="8">
        <v>2</v>
      </c>
      <c r="H96" s="8"/>
      <c r="I96" s="13"/>
    </row>
    <row r="97" spans="1:9" x14ac:dyDescent="0.2">
      <c r="A97" s="22"/>
      <c r="B97" s="8">
        <v>96</v>
      </c>
      <c r="C97" s="13" t="s">
        <v>445</v>
      </c>
      <c r="D97" s="8" t="s">
        <v>123</v>
      </c>
      <c r="E97" s="9" t="s">
        <v>8</v>
      </c>
      <c r="F97" s="8" t="s">
        <v>22</v>
      </c>
      <c r="G97" s="8">
        <v>8</v>
      </c>
      <c r="H97" s="8"/>
      <c r="I97" s="13"/>
    </row>
    <row r="98" spans="1:9" x14ac:dyDescent="0.2">
      <c r="A98" s="22"/>
      <c r="B98" s="8">
        <v>97</v>
      </c>
      <c r="C98" s="13" t="s">
        <v>446</v>
      </c>
      <c r="D98" s="8" t="s">
        <v>124</v>
      </c>
      <c r="E98" s="9" t="s">
        <v>8</v>
      </c>
      <c r="F98" s="8" t="s">
        <v>22</v>
      </c>
      <c r="G98" s="8">
        <v>8</v>
      </c>
      <c r="H98" s="8"/>
      <c r="I98" s="13"/>
    </row>
    <row r="99" spans="1:9" x14ac:dyDescent="0.2">
      <c r="A99" s="22"/>
      <c r="B99" s="8">
        <v>98</v>
      </c>
      <c r="C99" s="13" t="s">
        <v>238</v>
      </c>
      <c r="D99" s="8" t="s">
        <v>42</v>
      </c>
      <c r="E99" s="9" t="s">
        <v>8</v>
      </c>
      <c r="F99" s="8" t="s">
        <v>9</v>
      </c>
      <c r="G99" s="8">
        <v>1</v>
      </c>
      <c r="H99" s="8"/>
      <c r="I99" s="13"/>
    </row>
    <row r="100" spans="1:9" x14ac:dyDescent="0.2">
      <c r="A100" s="22"/>
      <c r="B100" s="8">
        <v>99</v>
      </c>
      <c r="C100" s="13" t="s">
        <v>447</v>
      </c>
      <c r="D100" s="8" t="s">
        <v>120</v>
      </c>
      <c r="E100" s="9" t="s">
        <v>121</v>
      </c>
      <c r="F100" s="8" t="s">
        <v>122</v>
      </c>
      <c r="G100" s="8">
        <v>2</v>
      </c>
      <c r="H100" s="8"/>
      <c r="I100" s="13"/>
    </row>
    <row r="101" spans="1:9" x14ac:dyDescent="0.2">
      <c r="A101" s="22"/>
      <c r="B101" s="8">
        <v>100</v>
      </c>
      <c r="C101" s="8" t="s">
        <v>321</v>
      </c>
      <c r="D101" s="8" t="s">
        <v>110</v>
      </c>
      <c r="E101" s="9" t="s">
        <v>8</v>
      </c>
      <c r="F101" s="8" t="s">
        <v>22</v>
      </c>
      <c r="G101" s="8">
        <v>8</v>
      </c>
      <c r="H101" s="8"/>
      <c r="I101" s="13"/>
    </row>
    <row r="102" spans="1:9" x14ac:dyDescent="0.2">
      <c r="A102" s="22"/>
      <c r="B102" s="8">
        <v>101</v>
      </c>
      <c r="C102" s="13" t="s">
        <v>322</v>
      </c>
      <c r="D102" s="8" t="s">
        <v>111</v>
      </c>
      <c r="E102" s="9" t="s">
        <v>8</v>
      </c>
      <c r="F102" s="8" t="s">
        <v>22</v>
      </c>
      <c r="G102" s="8">
        <v>8</v>
      </c>
      <c r="H102" s="8"/>
      <c r="I102" s="13"/>
    </row>
    <row r="103" spans="1:9" x14ac:dyDescent="0.2">
      <c r="A103" s="22"/>
      <c r="B103" s="8">
        <v>102</v>
      </c>
      <c r="C103" s="13" t="s">
        <v>323</v>
      </c>
      <c r="D103" s="8" t="s">
        <v>112</v>
      </c>
      <c r="E103" s="9" t="s">
        <v>8</v>
      </c>
      <c r="F103" s="8" t="s">
        <v>22</v>
      </c>
      <c r="G103" s="8">
        <v>8</v>
      </c>
      <c r="H103" s="8"/>
      <c r="I103" s="13"/>
    </row>
    <row r="104" spans="1:9" x14ac:dyDescent="0.2">
      <c r="A104" s="22"/>
      <c r="B104" s="8">
        <v>103</v>
      </c>
      <c r="C104" s="13" t="s">
        <v>324</v>
      </c>
      <c r="D104" s="8" t="s">
        <v>113</v>
      </c>
      <c r="E104" s="9" t="s">
        <v>8</v>
      </c>
      <c r="F104" s="8" t="s">
        <v>22</v>
      </c>
      <c r="G104" s="8">
        <v>8</v>
      </c>
      <c r="H104" s="8"/>
      <c r="I104" s="13"/>
    </row>
    <row r="105" spans="1:9" x14ac:dyDescent="0.2">
      <c r="A105" s="8" t="s">
        <v>497</v>
      </c>
      <c r="B105" s="13"/>
      <c r="C105" s="13"/>
      <c r="D105" s="8" t="s">
        <v>115</v>
      </c>
      <c r="E105" s="9" t="s">
        <v>115</v>
      </c>
      <c r="F105" s="8" t="s">
        <v>115</v>
      </c>
      <c r="G105" s="8">
        <f>SUM(G9:G104)</f>
        <v>462</v>
      </c>
      <c r="H105" s="8"/>
      <c r="I105" s="13"/>
    </row>
    <row r="106" spans="1:9" x14ac:dyDescent="0.2">
      <c r="A106" s="8" t="s">
        <v>115</v>
      </c>
      <c r="B106" s="13"/>
      <c r="C106" s="13"/>
      <c r="D106" s="8" t="s">
        <v>115</v>
      </c>
      <c r="E106" s="9" t="s">
        <v>115</v>
      </c>
      <c r="F106" s="8" t="s">
        <v>115</v>
      </c>
      <c r="G106" s="8" t="s">
        <v>115</v>
      </c>
      <c r="H106" s="8"/>
      <c r="I106" s="13"/>
    </row>
    <row r="107" spans="1:9" x14ac:dyDescent="0.2">
      <c r="A107" s="8" t="s">
        <v>125</v>
      </c>
      <c r="B107" s="13"/>
      <c r="C107" s="13"/>
      <c r="D107" s="8" t="s">
        <v>115</v>
      </c>
      <c r="E107" s="9" t="s">
        <v>115</v>
      </c>
      <c r="F107" s="8" t="s">
        <v>115</v>
      </c>
      <c r="G107" s="8">
        <f>G105</f>
        <v>462</v>
      </c>
      <c r="H107" s="8"/>
      <c r="I107" s="13"/>
    </row>
    <row r="108" spans="1:9" x14ac:dyDescent="0.2">
      <c r="G108" s="5"/>
    </row>
    <row r="109" spans="1:9" x14ac:dyDescent="0.2">
      <c r="F109" s="5" t="s">
        <v>499</v>
      </c>
      <c r="G109">
        <f>SUMIF(A:A,"ヘッダ",G:G)</f>
        <v>7</v>
      </c>
    </row>
    <row r="110" spans="1:9" x14ac:dyDescent="0.2">
      <c r="F110" s="5" t="s">
        <v>498</v>
      </c>
      <c r="G110">
        <f>G107</f>
        <v>462</v>
      </c>
    </row>
    <row r="111" spans="1:9" x14ac:dyDescent="0.2">
      <c r="F111" s="19" t="s">
        <v>500</v>
      </c>
      <c r="G111">
        <f>TRUNC((1458-G109)/G110)</f>
        <v>3</v>
      </c>
    </row>
    <row r="112" spans="1:9" x14ac:dyDescent="0.2">
      <c r="F112" s="5" t="s">
        <v>501</v>
      </c>
      <c r="G112">
        <f>G109+G110*G111</f>
        <v>1393</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FEFD2-1ADC-47EE-B111-ED7283CF1E5C}">
  <dimension ref="A1:I78"/>
  <sheetViews>
    <sheetView workbookViewId="0">
      <selection activeCell="F75" sqref="F75:G78"/>
    </sheetView>
  </sheetViews>
  <sheetFormatPr defaultRowHeight="12" x14ac:dyDescent="0.2"/>
  <cols>
    <col min="1" max="1" width="9" bestFit="1" customWidth="1"/>
    <col min="2" max="2" width="9" customWidth="1"/>
    <col min="3" max="3" width="34.140625" bestFit="1" customWidth="1"/>
    <col min="4" max="4" width="34.42578125" bestFit="1" customWidth="1"/>
    <col min="5" max="5" width="5.140625" bestFit="1" customWidth="1"/>
    <col min="6" max="6" width="14.85546875" bestFit="1" customWidth="1"/>
    <col min="7" max="7" width="8.7109375" bestFit="1" customWidth="1"/>
    <col min="8" max="8" width="49.7109375" bestFit="1" customWidth="1"/>
    <col min="9" max="9" width="105.28515625" bestFit="1" customWidth="1"/>
  </cols>
  <sheetData>
    <row r="1" spans="1:9" x14ac:dyDescent="0.2">
      <c r="A1" s="29" t="s">
        <v>0</v>
      </c>
      <c r="B1" s="6" t="s">
        <v>335</v>
      </c>
      <c r="C1" s="17" t="s">
        <v>333</v>
      </c>
      <c r="D1" s="2" t="s">
        <v>1</v>
      </c>
      <c r="E1" s="3" t="s">
        <v>2</v>
      </c>
      <c r="F1" s="2" t="s">
        <v>3</v>
      </c>
      <c r="G1" s="2" t="s">
        <v>4</v>
      </c>
      <c r="H1" s="2" t="s">
        <v>5</v>
      </c>
      <c r="I1" s="2" t="s">
        <v>194</v>
      </c>
    </row>
    <row r="2" spans="1:9" x14ac:dyDescent="0.2">
      <c r="A2" s="22" t="s">
        <v>6</v>
      </c>
      <c r="B2" s="8">
        <v>1</v>
      </c>
      <c r="C2" s="8" t="s">
        <v>325</v>
      </c>
      <c r="D2" s="13" t="s">
        <v>7</v>
      </c>
      <c r="E2" s="23" t="s">
        <v>8</v>
      </c>
      <c r="F2" s="13" t="s">
        <v>9</v>
      </c>
      <c r="G2" s="13">
        <v>1</v>
      </c>
      <c r="H2" s="13" t="s">
        <v>10</v>
      </c>
      <c r="I2" s="13" t="s">
        <v>195</v>
      </c>
    </row>
    <row r="3" spans="1:9" x14ac:dyDescent="0.2">
      <c r="A3" s="18" t="str">
        <f>A2</f>
        <v>ヘッダ</v>
      </c>
      <c r="B3" s="8">
        <v>2</v>
      </c>
      <c r="C3" s="8" t="s">
        <v>326</v>
      </c>
      <c r="D3" s="13" t="s">
        <v>11</v>
      </c>
      <c r="E3" s="23" t="s">
        <v>8</v>
      </c>
      <c r="F3" s="13" t="s">
        <v>9</v>
      </c>
      <c r="G3" s="13">
        <v>1</v>
      </c>
      <c r="H3" s="13" t="s">
        <v>12</v>
      </c>
      <c r="I3" s="13" t="s">
        <v>196</v>
      </c>
    </row>
    <row r="4" spans="1:9" x14ac:dyDescent="0.2">
      <c r="A4" s="18" t="str">
        <f t="shared" ref="A4:A8" si="0">A3</f>
        <v>ヘッダ</v>
      </c>
      <c r="B4" s="8">
        <v>3</v>
      </c>
      <c r="C4" s="8" t="s">
        <v>327</v>
      </c>
      <c r="D4" s="13" t="s">
        <v>13</v>
      </c>
      <c r="E4" s="23" t="s">
        <v>8</v>
      </c>
      <c r="F4" s="13" t="s">
        <v>9</v>
      </c>
      <c r="G4" s="13">
        <v>1</v>
      </c>
      <c r="H4" s="13" t="s">
        <v>14</v>
      </c>
      <c r="I4" s="13" t="s">
        <v>196</v>
      </c>
    </row>
    <row r="5" spans="1:9" ht="36" x14ac:dyDescent="0.2">
      <c r="A5" s="18" t="str">
        <f t="shared" si="0"/>
        <v>ヘッダ</v>
      </c>
      <c r="B5" s="8">
        <v>4</v>
      </c>
      <c r="C5" s="8" t="s">
        <v>328</v>
      </c>
      <c r="D5" s="13" t="s">
        <v>15</v>
      </c>
      <c r="E5" s="23" t="s">
        <v>8</v>
      </c>
      <c r="F5" s="13" t="s">
        <v>9</v>
      </c>
      <c r="G5" s="13">
        <v>1</v>
      </c>
      <c r="H5" s="26" t="s">
        <v>16</v>
      </c>
      <c r="I5" s="13" t="s">
        <v>195</v>
      </c>
    </row>
    <row r="6" spans="1:9" x14ac:dyDescent="0.2">
      <c r="A6" s="18" t="str">
        <f t="shared" si="0"/>
        <v>ヘッダ</v>
      </c>
      <c r="B6" s="8">
        <v>5</v>
      </c>
      <c r="C6" s="8" t="s">
        <v>329</v>
      </c>
      <c r="D6" s="13" t="s">
        <v>17</v>
      </c>
      <c r="E6" s="23" t="s">
        <v>8</v>
      </c>
      <c r="F6" s="13" t="s">
        <v>9</v>
      </c>
      <c r="G6" s="13">
        <v>1</v>
      </c>
      <c r="H6" s="26" t="s">
        <v>18</v>
      </c>
      <c r="I6" s="13" t="s">
        <v>196</v>
      </c>
    </row>
    <row r="7" spans="1:9" x14ac:dyDescent="0.2">
      <c r="A7" s="18" t="str">
        <f t="shared" si="0"/>
        <v>ヘッダ</v>
      </c>
      <c r="B7" s="8">
        <v>6</v>
      </c>
      <c r="C7" s="8" t="s">
        <v>330</v>
      </c>
      <c r="D7" s="13" t="s">
        <v>19</v>
      </c>
      <c r="E7" s="23" t="s">
        <v>8</v>
      </c>
      <c r="F7" s="13" t="s">
        <v>9</v>
      </c>
      <c r="G7" s="13">
        <v>1</v>
      </c>
      <c r="H7" s="26" t="s">
        <v>18</v>
      </c>
      <c r="I7" s="13" t="s">
        <v>196</v>
      </c>
    </row>
    <row r="8" spans="1:9" x14ac:dyDescent="0.2">
      <c r="A8" s="18" t="str">
        <f t="shared" si="0"/>
        <v>ヘッダ</v>
      </c>
      <c r="B8" s="8">
        <v>7</v>
      </c>
      <c r="C8" s="8" t="s">
        <v>332</v>
      </c>
      <c r="D8" s="13" t="s">
        <v>126</v>
      </c>
      <c r="E8" s="23" t="s">
        <v>8</v>
      </c>
      <c r="F8" s="13" t="s">
        <v>9</v>
      </c>
      <c r="G8" s="13">
        <v>1</v>
      </c>
      <c r="H8" s="13" t="s">
        <v>127</v>
      </c>
      <c r="I8" s="13"/>
    </row>
    <row r="9" spans="1:9" x14ac:dyDescent="0.2">
      <c r="A9" s="22" t="s">
        <v>128</v>
      </c>
      <c r="B9" s="8">
        <v>8</v>
      </c>
      <c r="C9" s="27" t="s">
        <v>264</v>
      </c>
      <c r="D9" s="13" t="s">
        <v>129</v>
      </c>
      <c r="E9" s="23" t="s">
        <v>8</v>
      </c>
      <c r="F9" s="13" t="s">
        <v>43</v>
      </c>
      <c r="G9" s="13">
        <v>4</v>
      </c>
      <c r="H9" s="13"/>
      <c r="I9" s="13"/>
    </row>
    <row r="10" spans="1:9" x14ac:dyDescent="0.2">
      <c r="A10" s="22"/>
      <c r="B10" s="8">
        <v>9</v>
      </c>
      <c r="C10" s="27" t="s">
        <v>558</v>
      </c>
      <c r="D10" s="13" t="s">
        <v>130</v>
      </c>
      <c r="E10" s="23" t="s">
        <v>8</v>
      </c>
      <c r="F10" s="13" t="s">
        <v>9</v>
      </c>
      <c r="G10" s="13">
        <v>1</v>
      </c>
      <c r="H10" s="13"/>
      <c r="I10" s="13"/>
    </row>
    <row r="11" spans="1:9" x14ac:dyDescent="0.2">
      <c r="A11" s="22"/>
      <c r="B11" s="8">
        <v>10</v>
      </c>
      <c r="C11" s="27" t="s">
        <v>557</v>
      </c>
      <c r="D11" s="13" t="s">
        <v>131</v>
      </c>
      <c r="E11" s="23" t="s">
        <v>8</v>
      </c>
      <c r="F11" s="13" t="s">
        <v>9</v>
      </c>
      <c r="G11" s="13">
        <v>1</v>
      </c>
      <c r="H11" s="13"/>
      <c r="I11" s="13"/>
    </row>
    <row r="12" spans="1:9" x14ac:dyDescent="0.2">
      <c r="A12" s="22"/>
      <c r="B12" s="8">
        <v>11</v>
      </c>
      <c r="C12" s="27" t="s">
        <v>559</v>
      </c>
      <c r="D12" s="13" t="s">
        <v>132</v>
      </c>
      <c r="E12" s="23" t="s">
        <v>8</v>
      </c>
      <c r="F12" s="13" t="s">
        <v>9</v>
      </c>
      <c r="G12" s="13">
        <v>1</v>
      </c>
      <c r="H12" s="13"/>
      <c r="I12" s="13"/>
    </row>
    <row r="13" spans="1:9" x14ac:dyDescent="0.2">
      <c r="A13" s="22"/>
      <c r="B13" s="8">
        <v>12</v>
      </c>
      <c r="C13" s="27" t="s">
        <v>560</v>
      </c>
      <c r="D13" s="13" t="s">
        <v>133</v>
      </c>
      <c r="E13" s="23" t="s">
        <v>8</v>
      </c>
      <c r="F13" s="13" t="s">
        <v>9</v>
      </c>
      <c r="G13" s="13">
        <v>1</v>
      </c>
      <c r="H13" s="13"/>
      <c r="I13" s="13"/>
    </row>
    <row r="14" spans="1:9" x14ac:dyDescent="0.2">
      <c r="A14" s="22"/>
      <c r="B14" s="8">
        <v>13</v>
      </c>
      <c r="C14" s="27" t="s">
        <v>561</v>
      </c>
      <c r="D14" s="13" t="s">
        <v>134</v>
      </c>
      <c r="E14" s="23" t="s">
        <v>8</v>
      </c>
      <c r="F14" s="13" t="s">
        <v>9</v>
      </c>
      <c r="G14" s="13">
        <v>1</v>
      </c>
      <c r="H14" s="13"/>
      <c r="I14" s="13"/>
    </row>
    <row r="15" spans="1:9" x14ac:dyDescent="0.2">
      <c r="A15" s="22"/>
      <c r="B15" s="8">
        <v>14</v>
      </c>
      <c r="C15" s="27" t="s">
        <v>562</v>
      </c>
      <c r="D15" s="13" t="s">
        <v>135</v>
      </c>
      <c r="E15" s="23" t="s">
        <v>8</v>
      </c>
      <c r="F15" s="13" t="s">
        <v>9</v>
      </c>
      <c r="G15" s="13">
        <v>1</v>
      </c>
      <c r="H15" s="13"/>
      <c r="I15" s="13"/>
    </row>
    <row r="16" spans="1:9" x14ac:dyDescent="0.2">
      <c r="A16" s="22"/>
      <c r="B16" s="8">
        <v>15</v>
      </c>
      <c r="C16" s="27" t="s">
        <v>563</v>
      </c>
      <c r="D16" s="13" t="s">
        <v>136</v>
      </c>
      <c r="E16" s="23" t="s">
        <v>8</v>
      </c>
      <c r="F16" s="13" t="s">
        <v>9</v>
      </c>
      <c r="G16" s="13">
        <v>1</v>
      </c>
      <c r="H16" s="13"/>
      <c r="I16" s="13"/>
    </row>
    <row r="17" spans="1:9" x14ac:dyDescent="0.2">
      <c r="A17" s="22"/>
      <c r="B17" s="8">
        <v>16</v>
      </c>
      <c r="C17" s="27" t="s">
        <v>564</v>
      </c>
      <c r="D17" s="13" t="s">
        <v>137</v>
      </c>
      <c r="E17" s="23" t="s">
        <v>8</v>
      </c>
      <c r="F17" s="13" t="s">
        <v>9</v>
      </c>
      <c r="G17" s="13">
        <v>1</v>
      </c>
      <c r="H17" s="13"/>
      <c r="I17" s="13"/>
    </row>
    <row r="18" spans="1:9" s="4" customFormat="1" x14ac:dyDescent="0.2">
      <c r="A18" s="30"/>
      <c r="B18" s="8">
        <v>17</v>
      </c>
      <c r="C18" s="27" t="s">
        <v>234</v>
      </c>
      <c r="D18" s="8" t="s">
        <v>138</v>
      </c>
      <c r="E18" s="9" t="s">
        <v>8</v>
      </c>
      <c r="F18" s="8" t="s">
        <v>22</v>
      </c>
      <c r="G18" s="8">
        <v>8</v>
      </c>
      <c r="H18" s="8"/>
      <c r="I18" s="28"/>
    </row>
    <row r="19" spans="1:9" x14ac:dyDescent="0.2">
      <c r="A19" s="22"/>
      <c r="B19" s="8">
        <v>18</v>
      </c>
      <c r="C19" s="27" t="s">
        <v>553</v>
      </c>
      <c r="D19" s="13" t="s">
        <v>139</v>
      </c>
      <c r="E19" s="23" t="s">
        <v>8</v>
      </c>
      <c r="F19" s="13" t="s">
        <v>9</v>
      </c>
      <c r="G19" s="13">
        <v>1</v>
      </c>
      <c r="H19" s="13"/>
      <c r="I19" s="13"/>
    </row>
    <row r="20" spans="1:9" x14ac:dyDescent="0.2">
      <c r="A20" s="22"/>
      <c r="B20" s="8">
        <v>19</v>
      </c>
      <c r="C20" s="27" t="s">
        <v>554</v>
      </c>
      <c r="D20" s="13" t="s">
        <v>140</v>
      </c>
      <c r="E20" s="23" t="s">
        <v>8</v>
      </c>
      <c r="F20" s="13" t="s">
        <v>9</v>
      </c>
      <c r="G20" s="13">
        <v>1</v>
      </c>
      <c r="H20" s="13"/>
      <c r="I20" s="13"/>
    </row>
    <row r="21" spans="1:9" x14ac:dyDescent="0.2">
      <c r="A21" s="22"/>
      <c r="B21" s="8">
        <v>20</v>
      </c>
      <c r="C21" s="27" t="s">
        <v>555</v>
      </c>
      <c r="D21" s="13" t="s">
        <v>141</v>
      </c>
      <c r="E21" s="23" t="s">
        <v>8</v>
      </c>
      <c r="F21" s="13" t="s">
        <v>9</v>
      </c>
      <c r="G21" s="13">
        <v>1</v>
      </c>
      <c r="H21" s="13"/>
      <c r="I21" s="13"/>
    </row>
    <row r="22" spans="1:9" x14ac:dyDescent="0.2">
      <c r="A22" s="22"/>
      <c r="B22" s="8">
        <v>21</v>
      </c>
      <c r="C22" s="27" t="s">
        <v>556</v>
      </c>
      <c r="D22" s="13" t="s">
        <v>142</v>
      </c>
      <c r="E22" s="23" t="s">
        <v>8</v>
      </c>
      <c r="F22" s="13" t="s">
        <v>9</v>
      </c>
      <c r="G22" s="13">
        <v>1</v>
      </c>
      <c r="H22" s="13"/>
      <c r="I22" s="13"/>
    </row>
    <row r="23" spans="1:9" x14ac:dyDescent="0.2">
      <c r="A23" s="22"/>
      <c r="B23" s="8">
        <v>22</v>
      </c>
      <c r="C23" s="27" t="s">
        <v>505</v>
      </c>
      <c r="D23" s="13" t="s">
        <v>143</v>
      </c>
      <c r="E23" s="23" t="s">
        <v>8</v>
      </c>
      <c r="F23" s="13" t="s">
        <v>9</v>
      </c>
      <c r="G23" s="13">
        <v>1</v>
      </c>
      <c r="H23" s="13"/>
      <c r="I23" s="13"/>
    </row>
    <row r="24" spans="1:9" x14ac:dyDescent="0.2">
      <c r="A24" s="22"/>
      <c r="B24" s="8">
        <v>23</v>
      </c>
      <c r="C24" s="27" t="s">
        <v>506</v>
      </c>
      <c r="D24" s="13" t="s">
        <v>144</v>
      </c>
      <c r="E24" s="23" t="s">
        <v>8</v>
      </c>
      <c r="F24" s="13" t="s">
        <v>9</v>
      </c>
      <c r="G24" s="13">
        <v>1</v>
      </c>
      <c r="H24" s="13"/>
      <c r="I24" s="13"/>
    </row>
    <row r="25" spans="1:9" x14ac:dyDescent="0.2">
      <c r="A25" s="22"/>
      <c r="B25" s="8">
        <v>24</v>
      </c>
      <c r="C25" s="8" t="s">
        <v>507</v>
      </c>
      <c r="D25" s="13" t="s">
        <v>145</v>
      </c>
      <c r="E25" s="23" t="s">
        <v>146</v>
      </c>
      <c r="F25" s="13" t="s">
        <v>61</v>
      </c>
      <c r="G25" s="13">
        <v>2</v>
      </c>
      <c r="H25" s="13"/>
      <c r="I25" s="13"/>
    </row>
    <row r="26" spans="1:9" x14ac:dyDescent="0.2">
      <c r="A26" s="22"/>
      <c r="B26" s="8">
        <v>25</v>
      </c>
      <c r="C26" s="27" t="s">
        <v>508</v>
      </c>
      <c r="D26" s="13" t="s">
        <v>147</v>
      </c>
      <c r="E26" s="23" t="s">
        <v>146</v>
      </c>
      <c r="F26" s="13" t="s">
        <v>61</v>
      </c>
      <c r="G26" s="13">
        <v>2</v>
      </c>
      <c r="H26" s="13"/>
      <c r="I26" s="13"/>
    </row>
    <row r="27" spans="1:9" x14ac:dyDescent="0.2">
      <c r="A27" s="22"/>
      <c r="B27" s="8">
        <v>26</v>
      </c>
      <c r="C27" s="27" t="s">
        <v>509</v>
      </c>
      <c r="D27" s="13" t="s">
        <v>148</v>
      </c>
      <c r="E27" s="23" t="s">
        <v>8</v>
      </c>
      <c r="F27" s="13" t="s">
        <v>9</v>
      </c>
      <c r="G27" s="13">
        <v>1</v>
      </c>
      <c r="H27" s="13"/>
      <c r="I27" s="13"/>
    </row>
    <row r="28" spans="1:9" x14ac:dyDescent="0.2">
      <c r="A28" s="22"/>
      <c r="B28" s="8">
        <v>27</v>
      </c>
      <c r="C28" s="27" t="s">
        <v>510</v>
      </c>
      <c r="D28" s="13" t="s">
        <v>149</v>
      </c>
      <c r="E28" s="23" t="s">
        <v>8</v>
      </c>
      <c r="F28" s="13" t="s">
        <v>9</v>
      </c>
      <c r="G28" s="13">
        <v>1</v>
      </c>
      <c r="H28" s="13"/>
      <c r="I28" s="13"/>
    </row>
    <row r="29" spans="1:9" x14ac:dyDescent="0.2">
      <c r="A29" s="22"/>
      <c r="B29" s="8">
        <v>28</v>
      </c>
      <c r="C29" s="27" t="s">
        <v>511</v>
      </c>
      <c r="D29" s="13" t="s">
        <v>150</v>
      </c>
      <c r="E29" s="23" t="s">
        <v>146</v>
      </c>
      <c r="F29" s="13" t="s">
        <v>61</v>
      </c>
      <c r="G29" s="13">
        <v>2</v>
      </c>
      <c r="H29" s="13"/>
      <c r="I29" s="13"/>
    </row>
    <row r="30" spans="1:9" x14ac:dyDescent="0.2">
      <c r="A30" s="22"/>
      <c r="B30" s="8">
        <v>29</v>
      </c>
      <c r="C30" s="27" t="s">
        <v>512</v>
      </c>
      <c r="D30" s="13" t="s">
        <v>151</v>
      </c>
      <c r="E30" s="23" t="s">
        <v>146</v>
      </c>
      <c r="F30" s="13" t="s">
        <v>61</v>
      </c>
      <c r="G30" s="13">
        <v>2</v>
      </c>
      <c r="H30" s="13"/>
      <c r="I30" s="13"/>
    </row>
    <row r="31" spans="1:9" x14ac:dyDescent="0.2">
      <c r="A31" s="22"/>
      <c r="B31" s="8">
        <v>30</v>
      </c>
      <c r="C31" s="27" t="s">
        <v>513</v>
      </c>
      <c r="D31" s="13" t="s">
        <v>152</v>
      </c>
      <c r="E31" s="23" t="s">
        <v>8</v>
      </c>
      <c r="F31" s="13" t="s">
        <v>9</v>
      </c>
      <c r="G31" s="13">
        <v>1</v>
      </c>
      <c r="H31" s="13"/>
      <c r="I31" s="13"/>
    </row>
    <row r="32" spans="1:9" x14ac:dyDescent="0.2">
      <c r="A32" s="22"/>
      <c r="B32" s="8">
        <v>31</v>
      </c>
      <c r="C32" s="27" t="s">
        <v>514</v>
      </c>
      <c r="D32" s="13" t="s">
        <v>153</v>
      </c>
      <c r="E32" s="23" t="s">
        <v>8</v>
      </c>
      <c r="F32" s="13" t="s">
        <v>9</v>
      </c>
      <c r="G32" s="13">
        <v>1</v>
      </c>
      <c r="H32" s="13"/>
      <c r="I32" s="13"/>
    </row>
    <row r="33" spans="1:9" x14ac:dyDescent="0.2">
      <c r="A33" s="22"/>
      <c r="B33" s="8">
        <v>32</v>
      </c>
      <c r="C33" s="27" t="s">
        <v>515</v>
      </c>
      <c r="D33" s="13" t="s">
        <v>154</v>
      </c>
      <c r="E33" s="23" t="s">
        <v>146</v>
      </c>
      <c r="F33" s="13" t="s">
        <v>61</v>
      </c>
      <c r="G33" s="13">
        <v>2</v>
      </c>
      <c r="H33" s="13"/>
      <c r="I33" s="13"/>
    </row>
    <row r="34" spans="1:9" x14ac:dyDescent="0.2">
      <c r="A34" s="22"/>
      <c r="B34" s="8">
        <v>33</v>
      </c>
      <c r="C34" s="27" t="s">
        <v>516</v>
      </c>
      <c r="D34" s="13" t="s">
        <v>155</v>
      </c>
      <c r="E34" s="23" t="s">
        <v>146</v>
      </c>
      <c r="F34" s="13" t="s">
        <v>61</v>
      </c>
      <c r="G34" s="13">
        <v>2</v>
      </c>
      <c r="H34" s="13"/>
      <c r="I34" s="13"/>
    </row>
    <row r="35" spans="1:9" x14ac:dyDescent="0.2">
      <c r="A35" s="22"/>
      <c r="B35" s="8">
        <v>34</v>
      </c>
      <c r="C35" s="27" t="s">
        <v>517</v>
      </c>
      <c r="D35" s="13" t="s">
        <v>156</v>
      </c>
      <c r="E35" s="23" t="s">
        <v>8</v>
      </c>
      <c r="F35" s="13" t="s">
        <v>9</v>
      </c>
      <c r="G35" s="13">
        <v>1</v>
      </c>
      <c r="H35" s="13"/>
      <c r="I35" s="13"/>
    </row>
    <row r="36" spans="1:9" x14ac:dyDescent="0.2">
      <c r="A36" s="22"/>
      <c r="B36" s="8">
        <v>35</v>
      </c>
      <c r="C36" s="27" t="s">
        <v>518</v>
      </c>
      <c r="D36" s="13" t="s">
        <v>157</v>
      </c>
      <c r="E36" s="23" t="s">
        <v>8</v>
      </c>
      <c r="F36" s="13" t="s">
        <v>9</v>
      </c>
      <c r="G36" s="13">
        <v>1</v>
      </c>
      <c r="H36" s="13"/>
      <c r="I36" s="13"/>
    </row>
    <row r="37" spans="1:9" x14ac:dyDescent="0.2">
      <c r="A37" s="22"/>
      <c r="B37" s="8">
        <v>36</v>
      </c>
      <c r="C37" s="27" t="s">
        <v>519</v>
      </c>
      <c r="D37" s="13" t="s">
        <v>158</v>
      </c>
      <c r="E37" s="23" t="s">
        <v>146</v>
      </c>
      <c r="F37" s="13" t="s">
        <v>61</v>
      </c>
      <c r="G37" s="13">
        <v>2</v>
      </c>
      <c r="H37" s="13"/>
      <c r="I37" s="13"/>
    </row>
    <row r="38" spans="1:9" x14ac:dyDescent="0.2">
      <c r="A38" s="22"/>
      <c r="B38" s="8">
        <v>37</v>
      </c>
      <c r="C38" s="27" t="s">
        <v>520</v>
      </c>
      <c r="D38" s="13" t="s">
        <v>159</v>
      </c>
      <c r="E38" s="23" t="s">
        <v>146</v>
      </c>
      <c r="F38" s="13" t="s">
        <v>61</v>
      </c>
      <c r="G38" s="13">
        <v>2</v>
      </c>
      <c r="H38" s="13"/>
      <c r="I38" s="13"/>
    </row>
    <row r="39" spans="1:9" x14ac:dyDescent="0.2">
      <c r="A39" s="22"/>
      <c r="B39" s="8">
        <v>38</v>
      </c>
      <c r="C39" s="27" t="s">
        <v>521</v>
      </c>
      <c r="D39" s="13" t="s">
        <v>160</v>
      </c>
      <c r="E39" s="23" t="s">
        <v>8</v>
      </c>
      <c r="F39" s="13" t="s">
        <v>9</v>
      </c>
      <c r="G39" s="13">
        <v>1</v>
      </c>
      <c r="H39" s="13"/>
      <c r="I39" s="13"/>
    </row>
    <row r="40" spans="1:9" x14ac:dyDescent="0.2">
      <c r="A40" s="22"/>
      <c r="B40" s="8">
        <v>39</v>
      </c>
      <c r="C40" s="27" t="s">
        <v>522</v>
      </c>
      <c r="D40" s="13" t="s">
        <v>161</v>
      </c>
      <c r="E40" s="23" t="s">
        <v>8</v>
      </c>
      <c r="F40" s="13" t="s">
        <v>9</v>
      </c>
      <c r="G40" s="13">
        <v>1</v>
      </c>
      <c r="H40" s="13"/>
      <c r="I40" s="13"/>
    </row>
    <row r="41" spans="1:9" x14ac:dyDescent="0.2">
      <c r="A41" s="22"/>
      <c r="B41" s="8">
        <v>40</v>
      </c>
      <c r="C41" s="27" t="s">
        <v>523</v>
      </c>
      <c r="D41" s="13" t="s">
        <v>162</v>
      </c>
      <c r="E41" s="23" t="s">
        <v>146</v>
      </c>
      <c r="F41" s="13" t="s">
        <v>61</v>
      </c>
      <c r="G41" s="13">
        <v>2</v>
      </c>
      <c r="H41" s="13"/>
      <c r="I41" s="13"/>
    </row>
    <row r="42" spans="1:9" x14ac:dyDescent="0.2">
      <c r="A42" s="22"/>
      <c r="B42" s="8">
        <v>41</v>
      </c>
      <c r="C42" s="27" t="s">
        <v>524</v>
      </c>
      <c r="D42" s="13" t="s">
        <v>163</v>
      </c>
      <c r="E42" s="23" t="s">
        <v>146</v>
      </c>
      <c r="F42" s="13" t="s">
        <v>61</v>
      </c>
      <c r="G42" s="13">
        <v>2</v>
      </c>
      <c r="H42" s="13"/>
      <c r="I42" s="13"/>
    </row>
    <row r="43" spans="1:9" x14ac:dyDescent="0.2">
      <c r="A43" s="22"/>
      <c r="B43" s="8">
        <v>42</v>
      </c>
      <c r="C43" s="27" t="s">
        <v>525</v>
      </c>
      <c r="D43" s="13" t="s">
        <v>164</v>
      </c>
      <c r="E43" s="23" t="s">
        <v>8</v>
      </c>
      <c r="F43" s="13" t="s">
        <v>9</v>
      </c>
      <c r="G43" s="13">
        <v>1</v>
      </c>
      <c r="H43" s="13"/>
      <c r="I43" s="13"/>
    </row>
    <row r="44" spans="1:9" x14ac:dyDescent="0.2">
      <c r="A44" s="22"/>
      <c r="B44" s="8">
        <v>43</v>
      </c>
      <c r="C44" s="27" t="s">
        <v>526</v>
      </c>
      <c r="D44" s="13" t="s">
        <v>165</v>
      </c>
      <c r="E44" s="23" t="s">
        <v>8</v>
      </c>
      <c r="F44" s="13" t="s">
        <v>9</v>
      </c>
      <c r="G44" s="13">
        <v>1</v>
      </c>
      <c r="H44" s="13"/>
      <c r="I44" s="13"/>
    </row>
    <row r="45" spans="1:9" x14ac:dyDescent="0.2">
      <c r="A45" s="22"/>
      <c r="B45" s="8">
        <v>44</v>
      </c>
      <c r="C45" s="27" t="s">
        <v>527</v>
      </c>
      <c r="D45" s="13" t="s">
        <v>166</v>
      </c>
      <c r="E45" s="23" t="s">
        <v>146</v>
      </c>
      <c r="F45" s="13" t="s">
        <v>61</v>
      </c>
      <c r="G45" s="13">
        <v>2</v>
      </c>
      <c r="H45" s="13"/>
      <c r="I45" s="13"/>
    </row>
    <row r="46" spans="1:9" x14ac:dyDescent="0.2">
      <c r="A46" s="22"/>
      <c r="B46" s="8">
        <v>45</v>
      </c>
      <c r="C46" s="27" t="s">
        <v>528</v>
      </c>
      <c r="D46" s="13" t="s">
        <v>167</v>
      </c>
      <c r="E46" s="23" t="s">
        <v>146</v>
      </c>
      <c r="F46" s="13" t="s">
        <v>61</v>
      </c>
      <c r="G46" s="13">
        <v>2</v>
      </c>
      <c r="H46" s="13"/>
      <c r="I46" s="13"/>
    </row>
    <row r="47" spans="1:9" x14ac:dyDescent="0.2">
      <c r="A47" s="22"/>
      <c r="B47" s="8">
        <v>46</v>
      </c>
      <c r="C47" s="27" t="s">
        <v>529</v>
      </c>
      <c r="D47" s="13" t="s">
        <v>168</v>
      </c>
      <c r="E47" s="23" t="s">
        <v>8</v>
      </c>
      <c r="F47" s="13" t="s">
        <v>9</v>
      </c>
      <c r="G47" s="13">
        <v>1</v>
      </c>
      <c r="H47" s="13"/>
      <c r="I47" s="13"/>
    </row>
    <row r="48" spans="1:9" x14ac:dyDescent="0.2">
      <c r="A48" s="22"/>
      <c r="B48" s="8">
        <v>47</v>
      </c>
      <c r="C48" s="27" t="s">
        <v>530</v>
      </c>
      <c r="D48" s="13" t="s">
        <v>169</v>
      </c>
      <c r="E48" s="23" t="s">
        <v>8</v>
      </c>
      <c r="F48" s="13" t="s">
        <v>9</v>
      </c>
      <c r="G48" s="13">
        <v>1</v>
      </c>
      <c r="H48" s="13"/>
      <c r="I48" s="13"/>
    </row>
    <row r="49" spans="1:9" x14ac:dyDescent="0.2">
      <c r="A49" s="22"/>
      <c r="B49" s="8">
        <v>48</v>
      </c>
      <c r="C49" s="27" t="s">
        <v>531</v>
      </c>
      <c r="D49" s="13" t="s">
        <v>170</v>
      </c>
      <c r="E49" s="23" t="s">
        <v>146</v>
      </c>
      <c r="F49" s="13" t="s">
        <v>61</v>
      </c>
      <c r="G49" s="13">
        <v>2</v>
      </c>
      <c r="H49" s="13"/>
      <c r="I49" s="13"/>
    </row>
    <row r="50" spans="1:9" x14ac:dyDescent="0.2">
      <c r="A50" s="22"/>
      <c r="B50" s="8">
        <v>49</v>
      </c>
      <c r="C50" s="27" t="s">
        <v>532</v>
      </c>
      <c r="D50" s="13" t="s">
        <v>171</v>
      </c>
      <c r="E50" s="23" t="s">
        <v>146</v>
      </c>
      <c r="F50" s="13" t="s">
        <v>61</v>
      </c>
      <c r="G50" s="13">
        <v>2</v>
      </c>
      <c r="H50" s="13"/>
      <c r="I50" s="13"/>
    </row>
    <row r="51" spans="1:9" x14ac:dyDescent="0.2">
      <c r="A51" s="22"/>
      <c r="B51" s="8">
        <v>50</v>
      </c>
      <c r="C51" s="27" t="s">
        <v>533</v>
      </c>
      <c r="D51" s="13" t="s">
        <v>172</v>
      </c>
      <c r="E51" s="23" t="s">
        <v>8</v>
      </c>
      <c r="F51" s="13" t="s">
        <v>9</v>
      </c>
      <c r="G51" s="13">
        <v>1</v>
      </c>
      <c r="H51" s="13"/>
      <c r="I51" s="13"/>
    </row>
    <row r="52" spans="1:9" x14ac:dyDescent="0.2">
      <c r="A52" s="22"/>
      <c r="B52" s="8">
        <v>51</v>
      </c>
      <c r="C52" s="27" t="s">
        <v>534</v>
      </c>
      <c r="D52" s="13" t="s">
        <v>173</v>
      </c>
      <c r="E52" s="23" t="s">
        <v>8</v>
      </c>
      <c r="F52" s="13" t="s">
        <v>9</v>
      </c>
      <c r="G52" s="13">
        <v>1</v>
      </c>
      <c r="H52" s="13"/>
      <c r="I52" s="13"/>
    </row>
    <row r="53" spans="1:9" x14ac:dyDescent="0.2">
      <c r="A53" s="22"/>
      <c r="B53" s="8">
        <v>52</v>
      </c>
      <c r="C53" s="27" t="s">
        <v>535</v>
      </c>
      <c r="D53" s="13" t="s">
        <v>174</v>
      </c>
      <c r="E53" s="23" t="s">
        <v>146</v>
      </c>
      <c r="F53" s="13" t="s">
        <v>61</v>
      </c>
      <c r="G53" s="13">
        <v>2</v>
      </c>
      <c r="H53" s="13"/>
      <c r="I53" s="13"/>
    </row>
    <row r="54" spans="1:9" x14ac:dyDescent="0.2">
      <c r="A54" s="22"/>
      <c r="B54" s="8">
        <v>53</v>
      </c>
      <c r="C54" s="27" t="s">
        <v>536</v>
      </c>
      <c r="D54" s="13" t="s">
        <v>175</v>
      </c>
      <c r="E54" s="23" t="s">
        <v>146</v>
      </c>
      <c r="F54" s="13" t="s">
        <v>61</v>
      </c>
      <c r="G54" s="13">
        <v>2</v>
      </c>
      <c r="H54" s="13"/>
      <c r="I54" s="13"/>
    </row>
    <row r="55" spans="1:9" x14ac:dyDescent="0.2">
      <c r="A55" s="22"/>
      <c r="B55" s="8">
        <v>54</v>
      </c>
      <c r="C55" s="27" t="s">
        <v>537</v>
      </c>
      <c r="D55" s="13" t="s">
        <v>176</v>
      </c>
      <c r="E55" s="23" t="s">
        <v>8</v>
      </c>
      <c r="F55" s="13" t="s">
        <v>9</v>
      </c>
      <c r="G55" s="13">
        <v>1</v>
      </c>
      <c r="H55" s="13"/>
      <c r="I55" s="13"/>
    </row>
    <row r="56" spans="1:9" x14ac:dyDescent="0.2">
      <c r="A56" s="22"/>
      <c r="B56" s="8">
        <v>55</v>
      </c>
      <c r="C56" s="27" t="s">
        <v>538</v>
      </c>
      <c r="D56" s="13" t="s">
        <v>177</v>
      </c>
      <c r="E56" s="23" t="s">
        <v>8</v>
      </c>
      <c r="F56" s="13" t="s">
        <v>9</v>
      </c>
      <c r="G56" s="13">
        <v>1</v>
      </c>
      <c r="H56" s="13"/>
      <c r="I56" s="13"/>
    </row>
    <row r="57" spans="1:9" x14ac:dyDescent="0.2">
      <c r="A57" s="22"/>
      <c r="B57" s="8">
        <v>56</v>
      </c>
      <c r="C57" s="27" t="s">
        <v>539</v>
      </c>
      <c r="D57" s="13" t="s">
        <v>178</v>
      </c>
      <c r="E57" s="23" t="s">
        <v>146</v>
      </c>
      <c r="F57" s="13" t="s">
        <v>61</v>
      </c>
      <c r="G57" s="13">
        <v>2</v>
      </c>
      <c r="H57" s="13"/>
      <c r="I57" s="13"/>
    </row>
    <row r="58" spans="1:9" x14ac:dyDescent="0.2">
      <c r="A58" s="22"/>
      <c r="B58" s="8">
        <v>57</v>
      </c>
      <c r="C58" s="27" t="s">
        <v>540</v>
      </c>
      <c r="D58" s="13" t="s">
        <v>179</v>
      </c>
      <c r="E58" s="23" t="s">
        <v>146</v>
      </c>
      <c r="F58" s="13" t="s">
        <v>61</v>
      </c>
      <c r="G58" s="13">
        <v>2</v>
      </c>
      <c r="H58" s="13"/>
      <c r="I58" s="13"/>
    </row>
    <row r="59" spans="1:9" x14ac:dyDescent="0.2">
      <c r="A59" s="22"/>
      <c r="B59" s="8">
        <v>58</v>
      </c>
      <c r="C59" s="27" t="s">
        <v>541</v>
      </c>
      <c r="D59" s="13" t="s">
        <v>180</v>
      </c>
      <c r="E59" s="23" t="s">
        <v>8</v>
      </c>
      <c r="F59" s="13" t="s">
        <v>9</v>
      </c>
      <c r="G59" s="13">
        <v>1</v>
      </c>
      <c r="H59" s="13"/>
      <c r="I59" s="13"/>
    </row>
    <row r="60" spans="1:9" x14ac:dyDescent="0.2">
      <c r="A60" s="22"/>
      <c r="B60" s="8">
        <v>59</v>
      </c>
      <c r="C60" s="27" t="s">
        <v>542</v>
      </c>
      <c r="D60" s="13" t="s">
        <v>181</v>
      </c>
      <c r="E60" s="23" t="s">
        <v>8</v>
      </c>
      <c r="F60" s="13" t="s">
        <v>9</v>
      </c>
      <c r="G60" s="13">
        <v>1</v>
      </c>
      <c r="H60" s="13"/>
      <c r="I60" s="13"/>
    </row>
    <row r="61" spans="1:9" x14ac:dyDescent="0.2">
      <c r="A61" s="22"/>
      <c r="B61" s="8">
        <v>60</v>
      </c>
      <c r="C61" s="27" t="s">
        <v>543</v>
      </c>
      <c r="D61" s="13" t="s">
        <v>182</v>
      </c>
      <c r="E61" s="23" t="s">
        <v>146</v>
      </c>
      <c r="F61" s="13" t="s">
        <v>61</v>
      </c>
      <c r="G61" s="13">
        <v>2</v>
      </c>
      <c r="H61" s="13"/>
      <c r="I61" s="13"/>
    </row>
    <row r="62" spans="1:9" x14ac:dyDescent="0.2">
      <c r="A62" s="22"/>
      <c r="B62" s="8">
        <v>61</v>
      </c>
      <c r="C62" s="27" t="s">
        <v>544</v>
      </c>
      <c r="D62" s="13" t="s">
        <v>183</v>
      </c>
      <c r="E62" s="23" t="s">
        <v>146</v>
      </c>
      <c r="F62" s="13" t="s">
        <v>61</v>
      </c>
      <c r="G62" s="13">
        <v>2</v>
      </c>
      <c r="H62" s="13"/>
      <c r="I62" s="13"/>
    </row>
    <row r="63" spans="1:9" x14ac:dyDescent="0.2">
      <c r="A63" s="22"/>
      <c r="B63" s="8">
        <v>62</v>
      </c>
      <c r="C63" s="27" t="s">
        <v>545</v>
      </c>
      <c r="D63" s="13" t="s">
        <v>184</v>
      </c>
      <c r="E63" s="23" t="s">
        <v>8</v>
      </c>
      <c r="F63" s="13" t="s">
        <v>9</v>
      </c>
      <c r="G63" s="13">
        <v>1</v>
      </c>
      <c r="H63" s="13"/>
      <c r="I63" s="13"/>
    </row>
    <row r="64" spans="1:9" x14ac:dyDescent="0.2">
      <c r="A64" s="22"/>
      <c r="B64" s="8">
        <v>63</v>
      </c>
      <c r="C64" s="13" t="s">
        <v>546</v>
      </c>
      <c r="D64" s="13" t="s">
        <v>185</v>
      </c>
      <c r="E64" s="23" t="s">
        <v>8</v>
      </c>
      <c r="F64" s="13" t="s">
        <v>9</v>
      </c>
      <c r="G64" s="13">
        <v>1</v>
      </c>
      <c r="H64" s="13"/>
      <c r="I64" s="13"/>
    </row>
    <row r="65" spans="1:9" x14ac:dyDescent="0.2">
      <c r="A65" s="22"/>
      <c r="B65" s="8">
        <v>64</v>
      </c>
      <c r="C65" s="13" t="s">
        <v>547</v>
      </c>
      <c r="D65" s="13" t="s">
        <v>186</v>
      </c>
      <c r="E65" s="23" t="s">
        <v>146</v>
      </c>
      <c r="F65" s="13" t="s">
        <v>61</v>
      </c>
      <c r="G65" s="13">
        <v>2</v>
      </c>
      <c r="H65" s="13"/>
      <c r="I65" s="13"/>
    </row>
    <row r="66" spans="1:9" x14ac:dyDescent="0.2">
      <c r="A66" s="22"/>
      <c r="B66" s="8">
        <v>65</v>
      </c>
      <c r="C66" s="13" t="s">
        <v>548</v>
      </c>
      <c r="D66" s="13" t="s">
        <v>187</v>
      </c>
      <c r="E66" s="23" t="s">
        <v>146</v>
      </c>
      <c r="F66" s="13" t="s">
        <v>61</v>
      </c>
      <c r="G66" s="13">
        <v>2</v>
      </c>
      <c r="H66" s="13"/>
      <c r="I66" s="13"/>
    </row>
    <row r="67" spans="1:9" x14ac:dyDescent="0.2">
      <c r="A67" s="22"/>
      <c r="B67" s="8">
        <v>66</v>
      </c>
      <c r="C67" s="13" t="s">
        <v>549</v>
      </c>
      <c r="D67" s="13" t="s">
        <v>188</v>
      </c>
      <c r="E67" s="23" t="s">
        <v>8</v>
      </c>
      <c r="F67" s="13" t="s">
        <v>9</v>
      </c>
      <c r="G67" s="13">
        <v>1</v>
      </c>
      <c r="H67" s="13"/>
      <c r="I67" s="13"/>
    </row>
    <row r="68" spans="1:9" x14ac:dyDescent="0.2">
      <c r="A68" s="22"/>
      <c r="B68" s="8">
        <v>67</v>
      </c>
      <c r="C68" s="13" t="s">
        <v>550</v>
      </c>
      <c r="D68" s="13" t="s">
        <v>189</v>
      </c>
      <c r="E68" s="23" t="s">
        <v>8</v>
      </c>
      <c r="F68" s="13" t="s">
        <v>9</v>
      </c>
      <c r="G68" s="13">
        <v>1</v>
      </c>
      <c r="H68" s="13"/>
      <c r="I68" s="13"/>
    </row>
    <row r="69" spans="1:9" x14ac:dyDescent="0.2">
      <c r="A69" s="22"/>
      <c r="B69" s="8">
        <v>68</v>
      </c>
      <c r="C69" s="13" t="s">
        <v>551</v>
      </c>
      <c r="D69" s="13" t="s">
        <v>190</v>
      </c>
      <c r="E69" s="23" t="s">
        <v>146</v>
      </c>
      <c r="F69" s="13" t="s">
        <v>61</v>
      </c>
      <c r="G69" s="13">
        <v>2</v>
      </c>
      <c r="H69" s="13"/>
      <c r="I69" s="13"/>
    </row>
    <row r="70" spans="1:9" x14ac:dyDescent="0.2">
      <c r="A70" s="22"/>
      <c r="B70" s="14">
        <v>69</v>
      </c>
      <c r="C70" s="13" t="s">
        <v>552</v>
      </c>
      <c r="D70" s="13" t="s">
        <v>191</v>
      </c>
      <c r="E70" s="23" t="s">
        <v>146</v>
      </c>
      <c r="F70" s="13" t="s">
        <v>61</v>
      </c>
      <c r="G70" s="13">
        <v>2</v>
      </c>
      <c r="H70" s="13"/>
      <c r="I70" s="13"/>
    </row>
    <row r="71" spans="1:9" x14ac:dyDescent="0.2">
      <c r="A71" s="13" t="s">
        <v>192</v>
      </c>
      <c r="B71" s="13"/>
      <c r="C71" s="24"/>
      <c r="D71" s="24" t="s">
        <v>115</v>
      </c>
      <c r="E71" s="25" t="s">
        <v>115</v>
      </c>
      <c r="F71" s="24" t="s">
        <v>115</v>
      </c>
      <c r="G71" s="24">
        <f>SUM(G9:G70)</f>
        <v>96</v>
      </c>
    </row>
    <row r="72" spans="1:9" x14ac:dyDescent="0.2">
      <c r="A72" s="13" t="s">
        <v>115</v>
      </c>
      <c r="B72" s="13"/>
      <c r="C72" s="13"/>
      <c r="D72" s="13" t="s">
        <v>115</v>
      </c>
      <c r="E72" s="23" t="s">
        <v>115</v>
      </c>
      <c r="F72" s="13" t="s">
        <v>115</v>
      </c>
      <c r="G72" s="13" t="s">
        <v>115</v>
      </c>
    </row>
    <row r="73" spans="1:9" x14ac:dyDescent="0.2">
      <c r="A73" s="13" t="s">
        <v>193</v>
      </c>
      <c r="B73" s="13"/>
      <c r="C73" s="13"/>
      <c r="D73" s="13" t="s">
        <v>115</v>
      </c>
      <c r="E73" s="23" t="s">
        <v>115</v>
      </c>
      <c r="F73" s="8" t="s">
        <v>115</v>
      </c>
      <c r="G73" s="8">
        <f>G71</f>
        <v>96</v>
      </c>
    </row>
    <row r="74" spans="1:9" x14ac:dyDescent="0.2">
      <c r="G74" s="5"/>
    </row>
    <row r="75" spans="1:9" x14ac:dyDescent="0.2">
      <c r="F75" s="5" t="s">
        <v>499</v>
      </c>
      <c r="G75">
        <f>SUMIF(A:A,"ヘッダ",G:G)</f>
        <v>7</v>
      </c>
    </row>
    <row r="76" spans="1:9" x14ac:dyDescent="0.2">
      <c r="F76" s="5" t="s">
        <v>498</v>
      </c>
      <c r="G76">
        <f>G73</f>
        <v>96</v>
      </c>
    </row>
    <row r="77" spans="1:9" x14ac:dyDescent="0.2">
      <c r="F77" s="19" t="s">
        <v>500</v>
      </c>
      <c r="G77">
        <f>TRUNC((1458-G75)/G76)</f>
        <v>15</v>
      </c>
    </row>
    <row r="78" spans="1:9" x14ac:dyDescent="0.2">
      <c r="F78" s="5" t="s">
        <v>501</v>
      </c>
      <c r="G78">
        <f>G75+G76*G77</f>
        <v>1447</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F7412-2E99-48DA-A428-C9E2E28DB51E}">
  <dimension ref="A1:I93"/>
  <sheetViews>
    <sheetView workbookViewId="0">
      <selection activeCell="D87" sqref="D87"/>
    </sheetView>
  </sheetViews>
  <sheetFormatPr defaultRowHeight="12" x14ac:dyDescent="0.2"/>
  <cols>
    <col min="1" max="1" width="29.7109375" bestFit="1" customWidth="1"/>
    <col min="2" max="2" width="4.5703125" bestFit="1" customWidth="1"/>
    <col min="3" max="3" width="29.7109375" customWidth="1"/>
    <col min="4" max="4" width="35.42578125" bestFit="1" customWidth="1"/>
    <col min="6" max="6" width="11.85546875" bestFit="1" customWidth="1"/>
    <col min="7" max="7" width="5.5703125" bestFit="1" customWidth="1"/>
    <col min="8" max="8" width="52.5703125" customWidth="1"/>
    <col min="9" max="9" width="96.42578125" bestFit="1" customWidth="1"/>
  </cols>
  <sheetData>
    <row r="1" spans="1:9" x14ac:dyDescent="0.2">
      <c r="A1" s="2" t="s">
        <v>0</v>
      </c>
      <c r="B1" s="17" t="s">
        <v>335</v>
      </c>
      <c r="C1" s="17" t="s">
        <v>333</v>
      </c>
      <c r="D1" s="2" t="s">
        <v>1</v>
      </c>
      <c r="E1" s="3" t="s">
        <v>2</v>
      </c>
      <c r="F1" s="2" t="s">
        <v>3</v>
      </c>
      <c r="G1" s="2" t="s">
        <v>4</v>
      </c>
      <c r="H1" s="2" t="s">
        <v>5</v>
      </c>
      <c r="I1" s="2" t="s">
        <v>194</v>
      </c>
    </row>
    <row r="2" spans="1:9" x14ac:dyDescent="0.2">
      <c r="A2" s="20" t="s">
        <v>6</v>
      </c>
      <c r="B2" s="8">
        <v>1</v>
      </c>
      <c r="C2" s="8" t="s">
        <v>325</v>
      </c>
      <c r="D2" s="13" t="s">
        <v>7</v>
      </c>
      <c r="E2" s="23" t="s">
        <v>8</v>
      </c>
      <c r="F2" s="13" t="s">
        <v>9</v>
      </c>
      <c r="G2" s="13">
        <v>1</v>
      </c>
      <c r="H2" s="13" t="s">
        <v>10</v>
      </c>
      <c r="I2" s="13" t="s">
        <v>195</v>
      </c>
    </row>
    <row r="3" spans="1:9" x14ac:dyDescent="0.2">
      <c r="A3" s="18" t="str">
        <f>A2</f>
        <v>ヘッダ</v>
      </c>
      <c r="B3" s="8">
        <v>2</v>
      </c>
      <c r="C3" s="8" t="s">
        <v>326</v>
      </c>
      <c r="D3" s="13" t="s">
        <v>11</v>
      </c>
      <c r="E3" s="23" t="s">
        <v>8</v>
      </c>
      <c r="F3" s="13" t="s">
        <v>9</v>
      </c>
      <c r="G3" s="13">
        <v>1</v>
      </c>
      <c r="H3" s="13" t="s">
        <v>12</v>
      </c>
      <c r="I3" s="13" t="s">
        <v>196</v>
      </c>
    </row>
    <row r="4" spans="1:9" x14ac:dyDescent="0.2">
      <c r="A4" s="18" t="str">
        <f t="shared" ref="A4:A8" si="0">A3</f>
        <v>ヘッダ</v>
      </c>
      <c r="B4" s="8">
        <v>3</v>
      </c>
      <c r="C4" s="8" t="s">
        <v>327</v>
      </c>
      <c r="D4" s="13" t="s">
        <v>13</v>
      </c>
      <c r="E4" s="23" t="s">
        <v>8</v>
      </c>
      <c r="F4" s="13" t="s">
        <v>9</v>
      </c>
      <c r="G4" s="13">
        <v>1</v>
      </c>
      <c r="H4" s="13" t="s">
        <v>14</v>
      </c>
      <c r="I4" s="13" t="s">
        <v>196</v>
      </c>
    </row>
    <row r="5" spans="1:9" ht="36" x14ac:dyDescent="0.2">
      <c r="A5" s="18" t="str">
        <f t="shared" si="0"/>
        <v>ヘッダ</v>
      </c>
      <c r="B5" s="8">
        <v>4</v>
      </c>
      <c r="C5" s="8" t="s">
        <v>328</v>
      </c>
      <c r="D5" s="13" t="s">
        <v>15</v>
      </c>
      <c r="E5" s="23" t="s">
        <v>8</v>
      </c>
      <c r="F5" s="13" t="s">
        <v>9</v>
      </c>
      <c r="G5" s="13">
        <v>1</v>
      </c>
      <c r="H5" s="26" t="s">
        <v>16</v>
      </c>
      <c r="I5" s="13" t="s">
        <v>195</v>
      </c>
    </row>
    <row r="6" spans="1:9" x14ac:dyDescent="0.2">
      <c r="A6" s="18" t="str">
        <f t="shared" si="0"/>
        <v>ヘッダ</v>
      </c>
      <c r="B6" s="8">
        <v>5</v>
      </c>
      <c r="C6" s="8" t="s">
        <v>329</v>
      </c>
      <c r="D6" s="13" t="s">
        <v>17</v>
      </c>
      <c r="E6" s="23" t="s">
        <v>8</v>
      </c>
      <c r="F6" s="13" t="s">
        <v>9</v>
      </c>
      <c r="G6" s="13">
        <v>1</v>
      </c>
      <c r="H6" s="26" t="s">
        <v>18</v>
      </c>
      <c r="I6" s="13" t="s">
        <v>196</v>
      </c>
    </row>
    <row r="7" spans="1:9" x14ac:dyDescent="0.2">
      <c r="A7" s="18" t="str">
        <f t="shared" si="0"/>
        <v>ヘッダ</v>
      </c>
      <c r="B7" s="8">
        <v>6</v>
      </c>
      <c r="C7" s="8" t="s">
        <v>330</v>
      </c>
      <c r="D7" s="13" t="s">
        <v>19</v>
      </c>
      <c r="E7" s="23" t="s">
        <v>8</v>
      </c>
      <c r="F7" s="13" t="s">
        <v>9</v>
      </c>
      <c r="G7" s="13">
        <v>1</v>
      </c>
      <c r="H7" s="26" t="s">
        <v>18</v>
      </c>
      <c r="I7" s="13" t="s">
        <v>196</v>
      </c>
    </row>
    <row r="8" spans="1:9" x14ac:dyDescent="0.2">
      <c r="A8" s="18" t="str">
        <f t="shared" si="0"/>
        <v>ヘッダ</v>
      </c>
      <c r="B8" s="8">
        <v>7</v>
      </c>
      <c r="C8" s="8" t="s">
        <v>332</v>
      </c>
      <c r="D8" s="13" t="s">
        <v>226</v>
      </c>
      <c r="E8" s="23" t="s">
        <v>8</v>
      </c>
      <c r="F8" s="13" t="s">
        <v>9</v>
      </c>
      <c r="G8" s="13">
        <v>1</v>
      </c>
      <c r="H8" s="13" t="s">
        <v>689</v>
      </c>
      <c r="I8" s="13"/>
    </row>
    <row r="9" spans="1:9" x14ac:dyDescent="0.2">
      <c r="A9" s="22" t="s">
        <v>218</v>
      </c>
      <c r="B9" s="8">
        <v>8</v>
      </c>
      <c r="C9" t="s">
        <v>686</v>
      </c>
      <c r="D9" s="13" t="s">
        <v>219</v>
      </c>
      <c r="E9" s="23" t="s">
        <v>8</v>
      </c>
      <c r="F9" s="13" t="s">
        <v>22</v>
      </c>
      <c r="G9" s="13">
        <v>8</v>
      </c>
      <c r="H9" s="13"/>
      <c r="I9" s="13"/>
    </row>
    <row r="10" spans="1:9" x14ac:dyDescent="0.2">
      <c r="A10" s="22"/>
      <c r="B10" s="8">
        <v>9</v>
      </c>
      <c r="C10" t="s">
        <v>687</v>
      </c>
      <c r="D10" s="13" t="s">
        <v>220</v>
      </c>
      <c r="E10" s="23" t="s">
        <v>8</v>
      </c>
      <c r="F10" s="13" t="s">
        <v>9</v>
      </c>
      <c r="G10" s="13">
        <v>1</v>
      </c>
      <c r="H10" s="13"/>
      <c r="I10" s="13"/>
    </row>
    <row r="11" spans="1:9" x14ac:dyDescent="0.2">
      <c r="A11" s="22"/>
      <c r="B11" s="8">
        <v>10</v>
      </c>
      <c r="C11" t="s">
        <v>688</v>
      </c>
      <c r="D11" s="13" t="s">
        <v>221</v>
      </c>
      <c r="E11" s="23" t="s">
        <v>8</v>
      </c>
      <c r="F11" s="13" t="s">
        <v>9</v>
      </c>
      <c r="G11" s="13">
        <v>1</v>
      </c>
      <c r="H11" s="13"/>
      <c r="I11" s="13"/>
    </row>
    <row r="12" spans="1:9" x14ac:dyDescent="0.2">
      <c r="A12" s="22"/>
      <c r="B12" s="8">
        <v>11</v>
      </c>
      <c r="C12" s="13" t="s">
        <v>565</v>
      </c>
      <c r="D12" s="31" t="s">
        <v>566</v>
      </c>
      <c r="E12" s="9" t="s">
        <v>8</v>
      </c>
      <c r="F12" s="8" t="s">
        <v>43</v>
      </c>
      <c r="G12" s="8">
        <v>4</v>
      </c>
      <c r="H12" s="13" t="s">
        <v>581</v>
      </c>
      <c r="I12" s="13"/>
    </row>
    <row r="13" spans="1:9" x14ac:dyDescent="0.2">
      <c r="A13" s="15"/>
      <c r="B13" s="8">
        <v>12</v>
      </c>
      <c r="C13" s="13" t="s">
        <v>257</v>
      </c>
      <c r="D13" s="31" t="s">
        <v>44</v>
      </c>
      <c r="E13" s="9" t="s">
        <v>45</v>
      </c>
      <c r="F13" s="8" t="s">
        <v>46</v>
      </c>
      <c r="G13" s="8">
        <v>4</v>
      </c>
      <c r="H13" s="13"/>
      <c r="I13" s="8"/>
    </row>
    <row r="14" spans="1:9" x14ac:dyDescent="0.2">
      <c r="A14" s="22"/>
      <c r="B14" s="8">
        <v>13</v>
      </c>
      <c r="C14" s="13" t="s">
        <v>258</v>
      </c>
      <c r="D14" s="31" t="s">
        <v>47</v>
      </c>
      <c r="E14" s="9" t="s">
        <v>45</v>
      </c>
      <c r="F14" s="8" t="s">
        <v>46</v>
      </c>
      <c r="G14" s="8">
        <v>4</v>
      </c>
      <c r="H14" s="13"/>
      <c r="I14" s="13"/>
    </row>
    <row r="15" spans="1:9" x14ac:dyDescent="0.2">
      <c r="A15" s="22"/>
      <c r="B15" s="8">
        <v>14</v>
      </c>
      <c r="C15" s="13" t="s">
        <v>259</v>
      </c>
      <c r="D15" s="31" t="s">
        <v>48</v>
      </c>
      <c r="E15" s="9" t="s">
        <v>49</v>
      </c>
      <c r="F15" s="8" t="s">
        <v>46</v>
      </c>
      <c r="G15" s="8">
        <v>4</v>
      </c>
      <c r="H15" s="13"/>
      <c r="I15" s="13"/>
    </row>
    <row r="16" spans="1:9" x14ac:dyDescent="0.2">
      <c r="A16" s="22"/>
      <c r="B16" s="8">
        <v>15</v>
      </c>
      <c r="C16" s="13" t="s">
        <v>567</v>
      </c>
      <c r="D16" s="31" t="s">
        <v>566</v>
      </c>
      <c r="E16" s="9" t="s">
        <v>8</v>
      </c>
      <c r="F16" s="8" t="s">
        <v>43</v>
      </c>
      <c r="G16" s="8">
        <v>4</v>
      </c>
      <c r="H16" s="13"/>
      <c r="I16" s="13"/>
    </row>
    <row r="17" spans="1:9" ht="14.25" x14ac:dyDescent="0.2">
      <c r="A17" s="22"/>
      <c r="B17" s="8">
        <v>16</v>
      </c>
      <c r="C17" s="13" t="s">
        <v>568</v>
      </c>
      <c r="D17" s="32" t="s">
        <v>569</v>
      </c>
      <c r="E17" s="9" t="s">
        <v>49</v>
      </c>
      <c r="F17" s="8" t="s">
        <v>46</v>
      </c>
      <c r="G17" s="8">
        <v>4</v>
      </c>
      <c r="H17" s="13"/>
      <c r="I17" s="13"/>
    </row>
    <row r="18" spans="1:9" ht="14.25" x14ac:dyDescent="0.2">
      <c r="A18" s="22"/>
      <c r="B18" s="8">
        <v>17</v>
      </c>
      <c r="C18" s="13" t="s">
        <v>262</v>
      </c>
      <c r="D18" s="32" t="s">
        <v>570</v>
      </c>
      <c r="E18" s="9" t="s">
        <v>49</v>
      </c>
      <c r="F18" s="8" t="s">
        <v>46</v>
      </c>
      <c r="G18" s="8">
        <v>4</v>
      </c>
      <c r="H18" s="13"/>
      <c r="I18" s="13"/>
    </row>
    <row r="19" spans="1:9" x14ac:dyDescent="0.2">
      <c r="A19" s="22"/>
      <c r="B19" s="8">
        <v>18</v>
      </c>
      <c r="C19" s="13" t="s">
        <v>263</v>
      </c>
      <c r="D19" s="31" t="s">
        <v>48</v>
      </c>
      <c r="E19" s="9" t="s">
        <v>49</v>
      </c>
      <c r="F19" s="8" t="s">
        <v>46</v>
      </c>
      <c r="G19" s="8">
        <v>4</v>
      </c>
      <c r="H19" s="13"/>
      <c r="I19" s="13"/>
    </row>
    <row r="20" spans="1:9" x14ac:dyDescent="0.2">
      <c r="A20" s="22"/>
      <c r="B20" s="8">
        <v>19</v>
      </c>
      <c r="C20" s="13" t="s">
        <v>264</v>
      </c>
      <c r="D20" s="31" t="s">
        <v>50</v>
      </c>
      <c r="E20" s="9" t="s">
        <v>8</v>
      </c>
      <c r="F20" s="8" t="s">
        <v>43</v>
      </c>
      <c r="G20" s="8">
        <v>4</v>
      </c>
      <c r="H20" s="13"/>
      <c r="I20" s="13"/>
    </row>
    <row r="21" spans="1:9" x14ac:dyDescent="0.2">
      <c r="A21" s="22"/>
      <c r="B21" s="8">
        <v>20</v>
      </c>
      <c r="C21" s="13" t="s">
        <v>265</v>
      </c>
      <c r="D21" s="31" t="s">
        <v>571</v>
      </c>
      <c r="E21" s="9" t="s">
        <v>49</v>
      </c>
      <c r="F21" s="8" t="s">
        <v>46</v>
      </c>
      <c r="G21" s="8">
        <v>4</v>
      </c>
      <c r="H21" s="13"/>
      <c r="I21" s="13"/>
    </row>
    <row r="22" spans="1:9" x14ac:dyDescent="0.2">
      <c r="A22" s="22"/>
      <c r="B22" s="8">
        <v>21</v>
      </c>
      <c r="C22" s="13" t="s">
        <v>266</v>
      </c>
      <c r="D22" s="31" t="s">
        <v>572</v>
      </c>
      <c r="E22" s="9" t="s">
        <v>49</v>
      </c>
      <c r="F22" s="8" t="s">
        <v>46</v>
      </c>
      <c r="G22" s="8">
        <v>4</v>
      </c>
      <c r="H22" s="13"/>
      <c r="I22" s="13"/>
    </row>
    <row r="23" spans="1:9" x14ac:dyDescent="0.2">
      <c r="A23" s="22"/>
      <c r="B23" s="8">
        <v>22</v>
      </c>
      <c r="C23" s="13" t="s">
        <v>267</v>
      </c>
      <c r="D23" s="31" t="s">
        <v>573</v>
      </c>
      <c r="E23" s="9" t="s">
        <v>49</v>
      </c>
      <c r="F23" s="8" t="s">
        <v>46</v>
      </c>
      <c r="G23" s="8">
        <v>4</v>
      </c>
      <c r="H23" s="13"/>
      <c r="I23" s="13"/>
    </row>
    <row r="24" spans="1:9" x14ac:dyDescent="0.2">
      <c r="A24" s="22"/>
      <c r="B24" s="8">
        <v>23</v>
      </c>
      <c r="C24" s="13" t="s">
        <v>268</v>
      </c>
      <c r="D24" s="31" t="s">
        <v>54</v>
      </c>
      <c r="E24" s="9" t="s">
        <v>8</v>
      </c>
      <c r="F24" s="8" t="s">
        <v>9</v>
      </c>
      <c r="G24" s="8">
        <v>1</v>
      </c>
      <c r="H24" s="13"/>
      <c r="I24" s="13"/>
    </row>
    <row r="25" spans="1:9" x14ac:dyDescent="0.2">
      <c r="A25" s="22"/>
      <c r="B25" s="8">
        <v>24</v>
      </c>
      <c r="C25" s="13" t="s">
        <v>269</v>
      </c>
      <c r="D25" s="31" t="s">
        <v>55</v>
      </c>
      <c r="E25" s="9" t="s">
        <v>8</v>
      </c>
      <c r="F25" s="8" t="s">
        <v>56</v>
      </c>
      <c r="G25" s="8">
        <v>1</v>
      </c>
      <c r="H25" s="13"/>
      <c r="I25" s="13"/>
    </row>
    <row r="26" spans="1:9" x14ac:dyDescent="0.2">
      <c r="A26" s="22"/>
      <c r="B26" s="8">
        <v>25</v>
      </c>
      <c r="C26" s="13" t="s">
        <v>270</v>
      </c>
      <c r="D26" s="31" t="s">
        <v>574</v>
      </c>
      <c r="E26" s="9" t="s">
        <v>27</v>
      </c>
      <c r="F26" s="8" t="s">
        <v>9</v>
      </c>
      <c r="G26" s="8">
        <v>1</v>
      </c>
      <c r="H26" s="13"/>
      <c r="I26" s="13"/>
    </row>
    <row r="27" spans="1:9" x14ac:dyDescent="0.2">
      <c r="A27" s="22"/>
      <c r="B27" s="8">
        <v>26</v>
      </c>
      <c r="C27" s="13" t="s">
        <v>271</v>
      </c>
      <c r="D27" s="31" t="s">
        <v>58</v>
      </c>
      <c r="E27" s="9" t="s">
        <v>8</v>
      </c>
      <c r="F27" s="8" t="s">
        <v>43</v>
      </c>
      <c r="G27" s="8">
        <v>4</v>
      </c>
      <c r="H27" s="13"/>
      <c r="I27" s="13"/>
    </row>
    <row r="28" spans="1:9" x14ac:dyDescent="0.2">
      <c r="A28" s="22"/>
      <c r="B28" s="8">
        <v>27</v>
      </c>
      <c r="C28" s="13" t="s">
        <v>272</v>
      </c>
      <c r="D28" s="31" t="s">
        <v>59</v>
      </c>
      <c r="E28" s="9" t="s">
        <v>8</v>
      </c>
      <c r="F28" s="8" t="s">
        <v>43</v>
      </c>
      <c r="G28" s="8">
        <v>4</v>
      </c>
      <c r="H28" s="13"/>
      <c r="I28" s="13"/>
    </row>
    <row r="29" spans="1:9" x14ac:dyDescent="0.2">
      <c r="A29" s="22"/>
      <c r="B29" s="8">
        <v>28</v>
      </c>
      <c r="C29" s="13" t="s">
        <v>273</v>
      </c>
      <c r="D29" s="31" t="s">
        <v>575</v>
      </c>
      <c r="E29" s="12">
        <v>1E-4</v>
      </c>
      <c r="F29" s="8" t="s">
        <v>61</v>
      </c>
      <c r="G29" s="8">
        <v>2</v>
      </c>
      <c r="H29" s="13"/>
      <c r="I29" s="13"/>
    </row>
    <row r="30" spans="1:9" x14ac:dyDescent="0.2">
      <c r="A30" s="22"/>
      <c r="B30" s="8">
        <v>29</v>
      </c>
      <c r="C30" s="13" t="s">
        <v>274</v>
      </c>
      <c r="D30" s="31" t="s">
        <v>62</v>
      </c>
      <c r="E30" s="9" t="s">
        <v>8</v>
      </c>
      <c r="F30" s="8" t="s">
        <v>22</v>
      </c>
      <c r="G30" s="8">
        <v>8</v>
      </c>
      <c r="H30" s="13"/>
      <c r="I30" s="13"/>
    </row>
    <row r="31" spans="1:9" x14ac:dyDescent="0.2">
      <c r="A31" s="22"/>
      <c r="B31" s="8">
        <v>30</v>
      </c>
      <c r="C31" s="13" t="s">
        <v>275</v>
      </c>
      <c r="D31" s="31" t="s">
        <v>576</v>
      </c>
      <c r="E31" s="9" t="s">
        <v>49</v>
      </c>
      <c r="F31" s="8" t="s">
        <v>46</v>
      </c>
      <c r="G31" s="8">
        <v>4</v>
      </c>
      <c r="H31" s="13"/>
      <c r="I31" s="13"/>
    </row>
    <row r="32" spans="1:9" x14ac:dyDescent="0.2">
      <c r="A32" s="22"/>
      <c r="B32" s="8">
        <v>31</v>
      </c>
      <c r="C32" s="13" t="s">
        <v>276</v>
      </c>
      <c r="D32" s="31" t="s">
        <v>577</v>
      </c>
      <c r="E32" s="9" t="s">
        <v>49</v>
      </c>
      <c r="F32" s="8" t="s">
        <v>46</v>
      </c>
      <c r="G32" s="8">
        <v>4</v>
      </c>
      <c r="H32" s="13"/>
      <c r="I32" s="13"/>
    </row>
    <row r="33" spans="1:9" x14ac:dyDescent="0.2">
      <c r="A33" s="22"/>
      <c r="B33" s="8">
        <v>32</v>
      </c>
      <c r="C33" s="13" t="s">
        <v>277</v>
      </c>
      <c r="D33" s="31" t="s">
        <v>578</v>
      </c>
      <c r="E33" s="9" t="s">
        <v>49</v>
      </c>
      <c r="F33" s="8" t="s">
        <v>46</v>
      </c>
      <c r="G33" s="8">
        <v>4</v>
      </c>
      <c r="H33" s="13"/>
      <c r="I33" s="13"/>
    </row>
    <row r="34" spans="1:9" x14ac:dyDescent="0.2">
      <c r="A34" s="22"/>
      <c r="B34" s="8">
        <v>33</v>
      </c>
      <c r="C34" s="13" t="s">
        <v>278</v>
      </c>
      <c r="D34" s="31" t="s">
        <v>66</v>
      </c>
      <c r="E34" s="9" t="s">
        <v>49</v>
      </c>
      <c r="F34" s="8" t="s">
        <v>61</v>
      </c>
      <c r="G34" s="8">
        <v>2</v>
      </c>
      <c r="H34" s="13"/>
      <c r="I34" s="13"/>
    </row>
    <row r="35" spans="1:9" x14ac:dyDescent="0.2">
      <c r="A35" s="22"/>
      <c r="B35" s="8">
        <v>34</v>
      </c>
      <c r="C35" s="13" t="s">
        <v>279</v>
      </c>
      <c r="D35" s="31" t="s">
        <v>579</v>
      </c>
      <c r="E35" s="9" t="s">
        <v>49</v>
      </c>
      <c r="F35" s="8" t="s">
        <v>61</v>
      </c>
      <c r="G35" s="8">
        <v>2</v>
      </c>
      <c r="H35" s="13"/>
      <c r="I35" s="13"/>
    </row>
    <row r="36" spans="1:9" x14ac:dyDescent="0.2">
      <c r="A36" s="22"/>
      <c r="B36" s="8">
        <v>35</v>
      </c>
      <c r="C36" s="13" t="s">
        <v>280</v>
      </c>
      <c r="D36" s="31" t="s">
        <v>580</v>
      </c>
      <c r="E36" s="9" t="s">
        <v>69</v>
      </c>
      <c r="F36" s="8" t="s">
        <v>61</v>
      </c>
      <c r="G36" s="8">
        <v>2</v>
      </c>
      <c r="H36" s="13"/>
      <c r="I36" s="13"/>
    </row>
    <row r="37" spans="1:9" x14ac:dyDescent="0.2">
      <c r="A37" s="22"/>
      <c r="B37" s="8">
        <v>36</v>
      </c>
      <c r="C37" s="13" t="s">
        <v>281</v>
      </c>
      <c r="D37" s="31" t="s">
        <v>91</v>
      </c>
      <c r="E37" s="9" t="s">
        <v>49</v>
      </c>
      <c r="F37" s="8" t="s">
        <v>61</v>
      </c>
      <c r="G37" s="8">
        <v>2</v>
      </c>
      <c r="H37" s="13"/>
      <c r="I37" s="13"/>
    </row>
    <row r="38" spans="1:9" x14ac:dyDescent="0.2">
      <c r="A38" s="22"/>
      <c r="B38" s="8">
        <v>37</v>
      </c>
      <c r="C38" s="13" t="s">
        <v>582</v>
      </c>
      <c r="D38" s="8" t="s">
        <v>23</v>
      </c>
      <c r="E38" s="9" t="s">
        <v>24</v>
      </c>
      <c r="F38" s="8" t="s">
        <v>22</v>
      </c>
      <c r="G38" s="8">
        <v>8</v>
      </c>
      <c r="H38" s="8"/>
      <c r="I38" s="13"/>
    </row>
    <row r="39" spans="1:9" x14ac:dyDescent="0.2">
      <c r="A39" s="22"/>
      <c r="B39" s="8">
        <v>38</v>
      </c>
      <c r="C39" s="13" t="s">
        <v>628</v>
      </c>
      <c r="D39" s="13" t="s">
        <v>229</v>
      </c>
      <c r="E39" s="23" t="s">
        <v>8</v>
      </c>
      <c r="F39" s="13" t="s">
        <v>9</v>
      </c>
      <c r="G39" s="13">
        <v>1</v>
      </c>
      <c r="H39" s="13"/>
      <c r="I39" s="13"/>
    </row>
    <row r="40" spans="1:9" x14ac:dyDescent="0.2">
      <c r="A40" s="22" t="s">
        <v>225</v>
      </c>
      <c r="B40" s="8">
        <v>39</v>
      </c>
      <c r="C40" s="13" t="s">
        <v>583</v>
      </c>
      <c r="D40" s="13" t="s">
        <v>222</v>
      </c>
      <c r="E40" s="23" t="s">
        <v>8</v>
      </c>
      <c r="F40" s="13" t="s">
        <v>9</v>
      </c>
      <c r="G40" s="13">
        <v>1</v>
      </c>
      <c r="H40" s="13"/>
      <c r="I40" s="13"/>
    </row>
    <row r="41" spans="1:9" x14ac:dyDescent="0.2">
      <c r="A41" s="22"/>
      <c r="B41" s="8">
        <v>40</v>
      </c>
      <c r="C41" s="13" t="s">
        <v>629</v>
      </c>
      <c r="D41" s="13" t="s">
        <v>223</v>
      </c>
      <c r="E41" s="23" t="s">
        <v>8</v>
      </c>
      <c r="F41" s="13" t="s">
        <v>9</v>
      </c>
      <c r="G41" s="13">
        <v>1</v>
      </c>
      <c r="H41" s="13"/>
      <c r="I41" s="13"/>
    </row>
    <row r="42" spans="1:9" x14ac:dyDescent="0.2">
      <c r="A42" s="22"/>
      <c r="B42" s="8">
        <v>41</v>
      </c>
      <c r="C42" s="13" t="s">
        <v>584</v>
      </c>
      <c r="D42" s="13" t="s">
        <v>623</v>
      </c>
      <c r="E42" s="23" t="s">
        <v>8</v>
      </c>
      <c r="F42" s="13" t="s">
        <v>214</v>
      </c>
      <c r="G42" s="13">
        <f>4*16</f>
        <v>64</v>
      </c>
      <c r="H42" s="13" t="s">
        <v>224</v>
      </c>
      <c r="I42" s="13"/>
    </row>
    <row r="43" spans="1:9" x14ac:dyDescent="0.2">
      <c r="A43" s="22"/>
      <c r="B43" s="8">
        <v>42</v>
      </c>
      <c r="C43" s="13" t="s">
        <v>585</v>
      </c>
      <c r="D43" s="13" t="s">
        <v>624</v>
      </c>
      <c r="E43" s="23" t="s">
        <v>8</v>
      </c>
      <c r="F43" s="13" t="s">
        <v>214</v>
      </c>
      <c r="G43" s="13">
        <f>4*16</f>
        <v>64</v>
      </c>
      <c r="H43" s="13" t="s">
        <v>224</v>
      </c>
      <c r="I43" s="13"/>
    </row>
    <row r="44" spans="1:9" x14ac:dyDescent="0.2">
      <c r="A44" s="22"/>
      <c r="B44" s="8">
        <v>43</v>
      </c>
      <c r="C44" s="13" t="s">
        <v>586</v>
      </c>
      <c r="D44" s="13" t="s">
        <v>625</v>
      </c>
      <c r="E44" s="23" t="s">
        <v>8</v>
      </c>
      <c r="F44" s="13" t="s">
        <v>9</v>
      </c>
      <c r="G44" s="13">
        <v>1</v>
      </c>
      <c r="H44" s="13"/>
      <c r="I44" s="13"/>
    </row>
    <row r="45" spans="1:9" x14ac:dyDescent="0.2">
      <c r="A45" s="22"/>
      <c r="B45" s="8">
        <v>44</v>
      </c>
      <c r="C45" s="13" t="s">
        <v>587</v>
      </c>
      <c r="D45" s="13" t="s">
        <v>626</v>
      </c>
      <c r="E45" s="23" t="s">
        <v>8</v>
      </c>
      <c r="F45" s="13" t="s">
        <v>61</v>
      </c>
      <c r="G45" s="13">
        <v>2</v>
      </c>
      <c r="H45" s="13"/>
      <c r="I45" s="13"/>
    </row>
    <row r="46" spans="1:9" x14ac:dyDescent="0.2">
      <c r="A46" s="22" t="s">
        <v>627</v>
      </c>
      <c r="B46" s="8">
        <v>45</v>
      </c>
      <c r="C46" s="13" t="s">
        <v>588</v>
      </c>
      <c r="D46" s="13" t="s">
        <v>638</v>
      </c>
      <c r="E46" s="23" t="s">
        <v>8</v>
      </c>
      <c r="F46" s="13" t="s">
        <v>9</v>
      </c>
      <c r="G46" s="13">
        <v>1</v>
      </c>
      <c r="H46" s="13"/>
      <c r="I46" s="13"/>
    </row>
    <row r="47" spans="1:9" x14ac:dyDescent="0.2">
      <c r="A47" s="22"/>
      <c r="B47" s="8">
        <v>46</v>
      </c>
      <c r="C47" s="13" t="s">
        <v>630</v>
      </c>
      <c r="D47" s="13" t="s">
        <v>639</v>
      </c>
      <c r="E47" s="23" t="s">
        <v>8</v>
      </c>
      <c r="F47" s="13" t="s">
        <v>9</v>
      </c>
      <c r="G47" s="13">
        <v>1</v>
      </c>
      <c r="H47" s="13"/>
      <c r="I47" s="13"/>
    </row>
    <row r="48" spans="1:9" x14ac:dyDescent="0.2">
      <c r="A48" s="22"/>
      <c r="B48" s="8">
        <v>47</v>
      </c>
      <c r="C48" s="13" t="s">
        <v>589</v>
      </c>
      <c r="D48" s="13" t="s">
        <v>640</v>
      </c>
      <c r="E48" s="23" t="s">
        <v>8</v>
      </c>
      <c r="F48" s="13" t="s">
        <v>214</v>
      </c>
      <c r="G48" s="13">
        <f>4*16</f>
        <v>64</v>
      </c>
      <c r="H48" s="13" t="s">
        <v>224</v>
      </c>
      <c r="I48" s="13"/>
    </row>
    <row r="49" spans="1:9" x14ac:dyDescent="0.2">
      <c r="A49" s="22"/>
      <c r="B49" s="8">
        <v>48</v>
      </c>
      <c r="C49" s="13" t="s">
        <v>590</v>
      </c>
      <c r="D49" s="13" t="s">
        <v>641</v>
      </c>
      <c r="E49" s="23" t="s">
        <v>8</v>
      </c>
      <c r="F49" s="13" t="s">
        <v>214</v>
      </c>
      <c r="G49" s="13">
        <f>4*16</f>
        <v>64</v>
      </c>
      <c r="H49" s="13" t="s">
        <v>224</v>
      </c>
      <c r="I49" s="13"/>
    </row>
    <row r="50" spans="1:9" x14ac:dyDescent="0.2">
      <c r="A50" s="22"/>
      <c r="B50" s="8">
        <v>49</v>
      </c>
      <c r="C50" s="13" t="s">
        <v>591</v>
      </c>
      <c r="D50" s="13" t="s">
        <v>642</v>
      </c>
      <c r="E50" s="23" t="s">
        <v>8</v>
      </c>
      <c r="F50" s="13" t="s">
        <v>9</v>
      </c>
      <c r="G50" s="13">
        <v>1</v>
      </c>
      <c r="H50" s="13"/>
      <c r="I50" s="13"/>
    </row>
    <row r="51" spans="1:9" x14ac:dyDescent="0.2">
      <c r="A51" s="22"/>
      <c r="B51" s="8">
        <v>50</v>
      </c>
      <c r="C51" s="13" t="s">
        <v>592</v>
      </c>
      <c r="D51" s="13" t="s">
        <v>643</v>
      </c>
      <c r="E51" s="23" t="s">
        <v>8</v>
      </c>
      <c r="F51" s="13" t="s">
        <v>61</v>
      </c>
      <c r="G51" s="13">
        <v>2</v>
      </c>
      <c r="H51" s="13"/>
      <c r="I51" s="13"/>
    </row>
    <row r="52" spans="1:9" x14ac:dyDescent="0.2">
      <c r="A52" s="22" t="s">
        <v>680</v>
      </c>
      <c r="B52" s="8">
        <v>51</v>
      </c>
      <c r="C52" s="13" t="s">
        <v>593</v>
      </c>
      <c r="D52" s="13" t="s">
        <v>644</v>
      </c>
      <c r="E52" s="23" t="s">
        <v>8</v>
      </c>
      <c r="F52" s="13" t="s">
        <v>9</v>
      </c>
      <c r="G52" s="13">
        <v>1</v>
      </c>
      <c r="H52" s="13"/>
      <c r="I52" s="13"/>
    </row>
    <row r="53" spans="1:9" x14ac:dyDescent="0.2">
      <c r="A53" s="22"/>
      <c r="B53" s="8">
        <v>52</v>
      </c>
      <c r="C53" s="13" t="s">
        <v>631</v>
      </c>
      <c r="D53" s="13" t="s">
        <v>645</v>
      </c>
      <c r="E53" s="23" t="s">
        <v>8</v>
      </c>
      <c r="F53" s="13" t="s">
        <v>9</v>
      </c>
      <c r="G53" s="13">
        <v>1</v>
      </c>
      <c r="H53" s="13"/>
      <c r="I53" s="13"/>
    </row>
    <row r="54" spans="1:9" x14ac:dyDescent="0.2">
      <c r="A54" s="22"/>
      <c r="B54" s="8">
        <v>53</v>
      </c>
      <c r="C54" s="13" t="s">
        <v>594</v>
      </c>
      <c r="D54" s="13" t="s">
        <v>646</v>
      </c>
      <c r="E54" s="23" t="s">
        <v>8</v>
      </c>
      <c r="F54" s="13" t="s">
        <v>214</v>
      </c>
      <c r="G54" s="13">
        <f>4*16</f>
        <v>64</v>
      </c>
      <c r="H54" s="13" t="s">
        <v>224</v>
      </c>
      <c r="I54" s="13"/>
    </row>
    <row r="55" spans="1:9" x14ac:dyDescent="0.2">
      <c r="A55" s="22"/>
      <c r="B55" s="8">
        <v>54</v>
      </c>
      <c r="C55" s="13" t="s">
        <v>595</v>
      </c>
      <c r="D55" s="13" t="s">
        <v>647</v>
      </c>
      <c r="E55" s="23" t="s">
        <v>8</v>
      </c>
      <c r="F55" s="13" t="s">
        <v>214</v>
      </c>
      <c r="G55" s="13">
        <f>4*16</f>
        <v>64</v>
      </c>
      <c r="H55" s="13" t="s">
        <v>224</v>
      </c>
      <c r="I55" s="13"/>
    </row>
    <row r="56" spans="1:9" x14ac:dyDescent="0.2">
      <c r="A56" s="22"/>
      <c r="B56" s="8">
        <v>55</v>
      </c>
      <c r="C56" s="13" t="s">
        <v>596</v>
      </c>
      <c r="D56" s="13" t="s">
        <v>648</v>
      </c>
      <c r="E56" s="23" t="s">
        <v>8</v>
      </c>
      <c r="F56" s="13" t="s">
        <v>9</v>
      </c>
      <c r="G56" s="13">
        <v>1</v>
      </c>
      <c r="H56" s="13"/>
      <c r="I56" s="13"/>
    </row>
    <row r="57" spans="1:9" x14ac:dyDescent="0.2">
      <c r="A57" s="22"/>
      <c r="B57" s="8">
        <v>56</v>
      </c>
      <c r="C57" s="13" t="s">
        <v>597</v>
      </c>
      <c r="D57" s="13" t="s">
        <v>649</v>
      </c>
      <c r="E57" s="23" t="s">
        <v>8</v>
      </c>
      <c r="F57" s="13" t="s">
        <v>61</v>
      </c>
      <c r="G57" s="13">
        <v>2</v>
      </c>
      <c r="H57" s="13"/>
      <c r="I57" s="13"/>
    </row>
    <row r="58" spans="1:9" x14ac:dyDescent="0.2">
      <c r="A58" s="22" t="s">
        <v>681</v>
      </c>
      <c r="B58" s="8">
        <v>57</v>
      </c>
      <c r="C58" s="13" t="s">
        <v>598</v>
      </c>
      <c r="D58" s="13" t="s">
        <v>650</v>
      </c>
      <c r="E58" s="23" t="s">
        <v>8</v>
      </c>
      <c r="F58" s="13" t="s">
        <v>9</v>
      </c>
      <c r="G58" s="13">
        <v>1</v>
      </c>
      <c r="H58" s="13"/>
      <c r="I58" s="13"/>
    </row>
    <row r="59" spans="1:9" x14ac:dyDescent="0.2">
      <c r="A59" s="22"/>
      <c r="B59" s="8">
        <v>58</v>
      </c>
      <c r="C59" s="13" t="s">
        <v>632</v>
      </c>
      <c r="D59" s="13" t="s">
        <v>651</v>
      </c>
      <c r="E59" s="23" t="s">
        <v>8</v>
      </c>
      <c r="F59" s="13" t="s">
        <v>9</v>
      </c>
      <c r="G59" s="13">
        <v>1</v>
      </c>
      <c r="H59" s="13"/>
      <c r="I59" s="13"/>
    </row>
    <row r="60" spans="1:9" x14ac:dyDescent="0.2">
      <c r="A60" s="22"/>
      <c r="B60" s="8">
        <v>59</v>
      </c>
      <c r="C60" s="13" t="s">
        <v>633</v>
      </c>
      <c r="D60" s="13" t="s">
        <v>652</v>
      </c>
      <c r="E60" s="23" t="s">
        <v>8</v>
      </c>
      <c r="F60" s="13" t="s">
        <v>214</v>
      </c>
      <c r="G60" s="13">
        <f>4*16</f>
        <v>64</v>
      </c>
      <c r="H60" s="13" t="s">
        <v>224</v>
      </c>
      <c r="I60" s="13"/>
    </row>
    <row r="61" spans="1:9" x14ac:dyDescent="0.2">
      <c r="A61" s="22"/>
      <c r="B61" s="8">
        <v>60</v>
      </c>
      <c r="C61" s="13" t="s">
        <v>599</v>
      </c>
      <c r="D61" s="13" t="s">
        <v>653</v>
      </c>
      <c r="E61" s="23" t="s">
        <v>8</v>
      </c>
      <c r="F61" s="13" t="s">
        <v>214</v>
      </c>
      <c r="G61" s="13">
        <f>4*16</f>
        <v>64</v>
      </c>
      <c r="H61" s="13" t="s">
        <v>224</v>
      </c>
      <c r="I61" s="13"/>
    </row>
    <row r="62" spans="1:9" x14ac:dyDescent="0.2">
      <c r="A62" s="22"/>
      <c r="B62" s="8">
        <v>61</v>
      </c>
      <c r="C62" s="13" t="s">
        <v>600</v>
      </c>
      <c r="D62" s="13" t="s">
        <v>654</v>
      </c>
      <c r="E62" s="23" t="s">
        <v>8</v>
      </c>
      <c r="F62" s="13" t="s">
        <v>9</v>
      </c>
      <c r="G62" s="13">
        <v>1</v>
      </c>
      <c r="H62" s="13"/>
      <c r="I62" s="13"/>
    </row>
    <row r="63" spans="1:9" x14ac:dyDescent="0.2">
      <c r="A63" s="22"/>
      <c r="B63" s="8">
        <v>62</v>
      </c>
      <c r="C63" s="13" t="s">
        <v>601</v>
      </c>
      <c r="D63" s="13" t="s">
        <v>655</v>
      </c>
      <c r="E63" s="23" t="s">
        <v>8</v>
      </c>
      <c r="F63" s="13" t="s">
        <v>61</v>
      </c>
      <c r="G63" s="13">
        <v>2</v>
      </c>
      <c r="H63" s="13"/>
      <c r="I63" s="13"/>
    </row>
    <row r="64" spans="1:9" x14ac:dyDescent="0.2">
      <c r="A64" s="22" t="s">
        <v>682</v>
      </c>
      <c r="B64" s="8">
        <v>63</v>
      </c>
      <c r="C64" s="13" t="s">
        <v>602</v>
      </c>
      <c r="D64" s="13" t="s">
        <v>656</v>
      </c>
      <c r="E64" s="23" t="s">
        <v>8</v>
      </c>
      <c r="F64" s="13" t="s">
        <v>9</v>
      </c>
      <c r="G64" s="13">
        <v>1</v>
      </c>
      <c r="H64" s="13"/>
      <c r="I64" s="13"/>
    </row>
    <row r="65" spans="1:9" x14ac:dyDescent="0.2">
      <c r="A65" s="22"/>
      <c r="B65" s="8">
        <v>64</v>
      </c>
      <c r="C65" s="13" t="s">
        <v>634</v>
      </c>
      <c r="D65" s="13" t="s">
        <v>657</v>
      </c>
      <c r="E65" s="23" t="s">
        <v>8</v>
      </c>
      <c r="F65" s="13" t="s">
        <v>9</v>
      </c>
      <c r="G65" s="13">
        <v>1</v>
      </c>
      <c r="H65" s="13"/>
      <c r="I65" s="13"/>
    </row>
    <row r="66" spans="1:9" x14ac:dyDescent="0.2">
      <c r="A66" s="22"/>
      <c r="B66" s="8">
        <v>65</v>
      </c>
      <c r="C66" s="13" t="s">
        <v>603</v>
      </c>
      <c r="D66" s="13" t="s">
        <v>658</v>
      </c>
      <c r="E66" s="23" t="s">
        <v>8</v>
      </c>
      <c r="F66" s="13" t="s">
        <v>214</v>
      </c>
      <c r="G66" s="13">
        <f>4*16</f>
        <v>64</v>
      </c>
      <c r="H66" s="13" t="s">
        <v>224</v>
      </c>
      <c r="I66" s="13"/>
    </row>
    <row r="67" spans="1:9" x14ac:dyDescent="0.2">
      <c r="A67" s="22"/>
      <c r="B67" s="8">
        <v>66</v>
      </c>
      <c r="C67" s="13" t="s">
        <v>604</v>
      </c>
      <c r="D67" s="13" t="s">
        <v>659</v>
      </c>
      <c r="E67" s="23" t="s">
        <v>8</v>
      </c>
      <c r="F67" s="13" t="s">
        <v>214</v>
      </c>
      <c r="G67" s="13">
        <f>4*16</f>
        <v>64</v>
      </c>
      <c r="H67" s="13" t="s">
        <v>224</v>
      </c>
      <c r="I67" s="13"/>
    </row>
    <row r="68" spans="1:9" x14ac:dyDescent="0.2">
      <c r="A68" s="22"/>
      <c r="B68" s="8">
        <v>67</v>
      </c>
      <c r="C68" s="13" t="s">
        <v>605</v>
      </c>
      <c r="D68" s="13" t="s">
        <v>660</v>
      </c>
      <c r="E68" s="23" t="s">
        <v>8</v>
      </c>
      <c r="F68" s="13" t="s">
        <v>9</v>
      </c>
      <c r="G68" s="13">
        <v>1</v>
      </c>
      <c r="H68" s="13"/>
      <c r="I68" s="13"/>
    </row>
    <row r="69" spans="1:9" x14ac:dyDescent="0.2">
      <c r="A69" s="22"/>
      <c r="B69" s="8">
        <v>68</v>
      </c>
      <c r="C69" s="13" t="s">
        <v>606</v>
      </c>
      <c r="D69" s="13" t="s">
        <v>661</v>
      </c>
      <c r="E69" s="23" t="s">
        <v>8</v>
      </c>
      <c r="F69" s="13" t="s">
        <v>61</v>
      </c>
      <c r="G69" s="13">
        <v>2</v>
      </c>
      <c r="H69" s="13"/>
      <c r="I69" s="13"/>
    </row>
    <row r="70" spans="1:9" x14ac:dyDescent="0.2">
      <c r="A70" s="22" t="s">
        <v>683</v>
      </c>
      <c r="B70" s="8">
        <v>69</v>
      </c>
      <c r="C70" s="13" t="s">
        <v>607</v>
      </c>
      <c r="D70" s="13" t="s">
        <v>662</v>
      </c>
      <c r="E70" s="23" t="s">
        <v>8</v>
      </c>
      <c r="F70" s="13" t="s">
        <v>9</v>
      </c>
      <c r="G70" s="13">
        <v>1</v>
      </c>
      <c r="H70" s="13"/>
      <c r="I70" s="13"/>
    </row>
    <row r="71" spans="1:9" x14ac:dyDescent="0.2">
      <c r="A71" s="22"/>
      <c r="B71" s="8">
        <v>70</v>
      </c>
      <c r="C71" s="13" t="s">
        <v>635</v>
      </c>
      <c r="D71" s="13" t="s">
        <v>663</v>
      </c>
      <c r="E71" s="23" t="s">
        <v>8</v>
      </c>
      <c r="F71" s="13" t="s">
        <v>9</v>
      </c>
      <c r="G71" s="13">
        <v>1</v>
      </c>
      <c r="H71" s="13"/>
      <c r="I71" s="13"/>
    </row>
    <row r="72" spans="1:9" x14ac:dyDescent="0.2">
      <c r="A72" s="22"/>
      <c r="B72" s="8">
        <v>71</v>
      </c>
      <c r="C72" s="13" t="s">
        <v>608</v>
      </c>
      <c r="D72" s="13" t="s">
        <v>664</v>
      </c>
      <c r="E72" s="23" t="s">
        <v>8</v>
      </c>
      <c r="F72" s="13" t="s">
        <v>214</v>
      </c>
      <c r="G72" s="13">
        <f>4*16</f>
        <v>64</v>
      </c>
      <c r="H72" s="13" t="s">
        <v>224</v>
      </c>
      <c r="I72" s="13"/>
    </row>
    <row r="73" spans="1:9" x14ac:dyDescent="0.2">
      <c r="A73" s="22"/>
      <c r="B73" s="8">
        <v>72</v>
      </c>
      <c r="C73" s="13" t="s">
        <v>609</v>
      </c>
      <c r="D73" s="13" t="s">
        <v>665</v>
      </c>
      <c r="E73" s="23" t="s">
        <v>8</v>
      </c>
      <c r="F73" s="13" t="s">
        <v>214</v>
      </c>
      <c r="G73" s="13">
        <f>4*16</f>
        <v>64</v>
      </c>
      <c r="H73" s="13" t="s">
        <v>224</v>
      </c>
      <c r="I73" s="13"/>
    </row>
    <row r="74" spans="1:9" x14ac:dyDescent="0.2">
      <c r="A74" s="22"/>
      <c r="B74" s="8">
        <v>73</v>
      </c>
      <c r="C74" s="13" t="s">
        <v>610</v>
      </c>
      <c r="D74" s="13" t="s">
        <v>666</v>
      </c>
      <c r="E74" s="23" t="s">
        <v>8</v>
      </c>
      <c r="F74" s="13" t="s">
        <v>9</v>
      </c>
      <c r="G74" s="13">
        <v>1</v>
      </c>
      <c r="H74" s="13"/>
      <c r="I74" s="13"/>
    </row>
    <row r="75" spans="1:9" x14ac:dyDescent="0.2">
      <c r="A75" s="22"/>
      <c r="B75" s="8">
        <v>74</v>
      </c>
      <c r="C75" s="13" t="s">
        <v>611</v>
      </c>
      <c r="D75" s="13" t="s">
        <v>667</v>
      </c>
      <c r="E75" s="23" t="s">
        <v>8</v>
      </c>
      <c r="F75" s="13" t="s">
        <v>61</v>
      </c>
      <c r="G75" s="13">
        <v>2</v>
      </c>
      <c r="H75" s="13"/>
      <c r="I75" s="13"/>
    </row>
    <row r="76" spans="1:9" x14ac:dyDescent="0.2">
      <c r="A76" s="22" t="s">
        <v>684</v>
      </c>
      <c r="B76" s="8">
        <v>75</v>
      </c>
      <c r="C76" s="13" t="s">
        <v>612</v>
      </c>
      <c r="D76" s="13" t="s">
        <v>668</v>
      </c>
      <c r="E76" s="23" t="s">
        <v>8</v>
      </c>
      <c r="F76" s="13" t="s">
        <v>9</v>
      </c>
      <c r="G76" s="13">
        <v>1</v>
      </c>
      <c r="H76" s="13"/>
      <c r="I76" s="13"/>
    </row>
    <row r="77" spans="1:9" x14ac:dyDescent="0.2">
      <c r="A77" s="22"/>
      <c r="B77" s="8">
        <v>76</v>
      </c>
      <c r="C77" s="13" t="s">
        <v>636</v>
      </c>
      <c r="D77" s="13" t="s">
        <v>669</v>
      </c>
      <c r="E77" s="23" t="s">
        <v>8</v>
      </c>
      <c r="F77" s="13" t="s">
        <v>9</v>
      </c>
      <c r="G77" s="13">
        <v>1</v>
      </c>
      <c r="H77" s="13"/>
      <c r="I77" s="13"/>
    </row>
    <row r="78" spans="1:9" x14ac:dyDescent="0.2">
      <c r="A78" s="22"/>
      <c r="B78" s="8">
        <v>77</v>
      </c>
      <c r="C78" s="13" t="s">
        <v>613</v>
      </c>
      <c r="D78" s="13" t="s">
        <v>670</v>
      </c>
      <c r="E78" s="23" t="s">
        <v>8</v>
      </c>
      <c r="F78" s="13" t="s">
        <v>214</v>
      </c>
      <c r="G78" s="13">
        <f>4*16</f>
        <v>64</v>
      </c>
      <c r="H78" s="13" t="s">
        <v>224</v>
      </c>
      <c r="I78" s="13"/>
    </row>
    <row r="79" spans="1:9" x14ac:dyDescent="0.2">
      <c r="A79" s="22"/>
      <c r="B79" s="8">
        <v>78</v>
      </c>
      <c r="C79" s="13" t="s">
        <v>614</v>
      </c>
      <c r="D79" s="13" t="s">
        <v>671</v>
      </c>
      <c r="E79" s="23" t="s">
        <v>8</v>
      </c>
      <c r="F79" s="13" t="s">
        <v>214</v>
      </c>
      <c r="G79" s="13">
        <f>4*16</f>
        <v>64</v>
      </c>
      <c r="H79" s="13" t="s">
        <v>224</v>
      </c>
      <c r="I79" s="13"/>
    </row>
    <row r="80" spans="1:9" x14ac:dyDescent="0.2">
      <c r="A80" s="22"/>
      <c r="B80" s="8">
        <v>79</v>
      </c>
      <c r="C80" s="13" t="s">
        <v>615</v>
      </c>
      <c r="D80" s="13" t="s">
        <v>672</v>
      </c>
      <c r="E80" s="23" t="s">
        <v>8</v>
      </c>
      <c r="F80" s="13" t="s">
        <v>9</v>
      </c>
      <c r="G80" s="13">
        <v>1</v>
      </c>
      <c r="H80" s="13"/>
      <c r="I80" s="13"/>
    </row>
    <row r="81" spans="1:9" x14ac:dyDescent="0.2">
      <c r="A81" s="22"/>
      <c r="B81" s="8">
        <v>80</v>
      </c>
      <c r="C81" s="13" t="s">
        <v>616</v>
      </c>
      <c r="D81" s="13" t="s">
        <v>673</v>
      </c>
      <c r="E81" s="23" t="s">
        <v>8</v>
      </c>
      <c r="F81" s="13" t="s">
        <v>61</v>
      </c>
      <c r="G81" s="13">
        <v>2</v>
      </c>
      <c r="H81" s="13"/>
      <c r="I81" s="13"/>
    </row>
    <row r="82" spans="1:9" x14ac:dyDescent="0.2">
      <c r="A82" s="22" t="s">
        <v>685</v>
      </c>
      <c r="B82" s="8">
        <v>81</v>
      </c>
      <c r="C82" s="13" t="s">
        <v>617</v>
      </c>
      <c r="D82" s="13" t="s">
        <v>674</v>
      </c>
      <c r="E82" s="23" t="s">
        <v>8</v>
      </c>
      <c r="F82" s="13" t="s">
        <v>9</v>
      </c>
      <c r="G82" s="13">
        <v>1</v>
      </c>
      <c r="H82" s="13"/>
      <c r="I82" s="13"/>
    </row>
    <row r="83" spans="1:9" x14ac:dyDescent="0.2">
      <c r="A83" s="22"/>
      <c r="B83" s="8">
        <v>82</v>
      </c>
      <c r="C83" s="13" t="s">
        <v>637</v>
      </c>
      <c r="D83" s="13" t="s">
        <v>675</v>
      </c>
      <c r="E83" s="23" t="s">
        <v>8</v>
      </c>
      <c r="F83" s="13" t="s">
        <v>9</v>
      </c>
      <c r="G83" s="13">
        <v>1</v>
      </c>
      <c r="H83" s="13"/>
      <c r="I83" s="13"/>
    </row>
    <row r="84" spans="1:9" x14ac:dyDescent="0.2">
      <c r="A84" s="22"/>
      <c r="B84" s="8">
        <v>83</v>
      </c>
      <c r="C84" s="13" t="s">
        <v>618</v>
      </c>
      <c r="D84" s="13" t="s">
        <v>676</v>
      </c>
      <c r="E84" s="23" t="s">
        <v>8</v>
      </c>
      <c r="F84" s="13" t="s">
        <v>214</v>
      </c>
      <c r="G84" s="13">
        <f>4*16</f>
        <v>64</v>
      </c>
      <c r="H84" s="13" t="s">
        <v>224</v>
      </c>
      <c r="I84" s="13"/>
    </row>
    <row r="85" spans="1:9" x14ac:dyDescent="0.2">
      <c r="A85" s="22"/>
      <c r="B85" s="8">
        <v>84</v>
      </c>
      <c r="C85" s="13" t="s">
        <v>619</v>
      </c>
      <c r="D85" s="13" t="s">
        <v>677</v>
      </c>
      <c r="E85" s="23" t="s">
        <v>8</v>
      </c>
      <c r="F85" s="13" t="s">
        <v>214</v>
      </c>
      <c r="G85" s="13">
        <f>4*16</f>
        <v>64</v>
      </c>
      <c r="H85" s="13" t="s">
        <v>224</v>
      </c>
      <c r="I85" s="13"/>
    </row>
    <row r="86" spans="1:9" x14ac:dyDescent="0.2">
      <c r="A86" s="22"/>
      <c r="B86" s="8">
        <v>85</v>
      </c>
      <c r="C86" s="13" t="s">
        <v>620</v>
      </c>
      <c r="D86" s="13" t="s">
        <v>678</v>
      </c>
      <c r="E86" s="23" t="s">
        <v>8</v>
      </c>
      <c r="F86" s="13" t="s">
        <v>9</v>
      </c>
      <c r="G86" s="13">
        <v>1</v>
      </c>
      <c r="H86" s="13"/>
      <c r="I86" s="13"/>
    </row>
    <row r="87" spans="1:9" x14ac:dyDescent="0.2">
      <c r="A87" s="22"/>
      <c r="B87" s="8">
        <v>86</v>
      </c>
      <c r="C87" s="13" t="s">
        <v>621</v>
      </c>
      <c r="D87" s="13" t="s">
        <v>679</v>
      </c>
      <c r="E87" s="23" t="s">
        <v>8</v>
      </c>
      <c r="F87" s="13" t="s">
        <v>61</v>
      </c>
      <c r="G87" s="13">
        <v>2</v>
      </c>
      <c r="H87" s="13"/>
      <c r="I87" s="13"/>
    </row>
    <row r="88" spans="1:9" x14ac:dyDescent="0.2">
      <c r="A88" s="24"/>
      <c r="B88" s="8">
        <v>87</v>
      </c>
      <c r="C88" s="13" t="s">
        <v>622</v>
      </c>
      <c r="D88" s="13" t="s">
        <v>227</v>
      </c>
      <c r="E88" s="23" t="s">
        <v>8</v>
      </c>
      <c r="F88" s="13" t="s">
        <v>9</v>
      </c>
      <c r="G88" s="13">
        <v>1</v>
      </c>
      <c r="H88" s="13"/>
      <c r="I88" s="13"/>
    </row>
    <row r="90" spans="1:9" x14ac:dyDescent="0.2">
      <c r="F90" s="5" t="s">
        <v>499</v>
      </c>
      <c r="G90">
        <f>SUMIF(A:A,"ヘッダ",G:G)</f>
        <v>7</v>
      </c>
    </row>
    <row r="91" spans="1:9" x14ac:dyDescent="0.2">
      <c r="F91" s="5" t="s">
        <v>498</v>
      </c>
      <c r="G91">
        <f>SUM(G9:G88)</f>
        <v>1173</v>
      </c>
    </row>
    <row r="92" spans="1:9" x14ac:dyDescent="0.2">
      <c r="F92" s="19" t="s">
        <v>500</v>
      </c>
      <c r="G92">
        <f>TRUNC((1458-G90)/G91)</f>
        <v>1</v>
      </c>
    </row>
    <row r="93" spans="1:9" x14ac:dyDescent="0.2">
      <c r="F93" s="5" t="s">
        <v>501</v>
      </c>
      <c r="G93">
        <f>G90+G91*G92</f>
        <v>1180</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2A130-F658-4E30-8032-58F2194AE156}">
  <dimension ref="A1"/>
  <sheetViews>
    <sheetView zoomScale="25" workbookViewId="0">
      <selection activeCell="A17" sqref="A17"/>
    </sheetView>
  </sheetViews>
  <sheetFormatPr defaultRowHeight="12" x14ac:dyDescent="0.2"/>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物標情報</vt:lpstr>
      <vt:lpstr>フリースペース情報</vt:lpstr>
      <vt:lpstr>信号情報</vt:lpstr>
      <vt:lpstr>センサー情報</vt:lpstr>
      <vt:lpstr>送信周期</vt:lpstr>
      <vt:lpstr>物標情報!Print_Area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fkawata</dc:creator>
  <cp:keywords/>
  <dc:description/>
  <cp:lastModifiedBy>KUSAYAMA Shinichi</cp:lastModifiedBy>
  <cp:revision/>
  <cp:lastPrinted>2026-04-30T01:40:38Z</cp:lastPrinted>
  <dcterms:created xsi:type="dcterms:W3CDTF">2023-01-11T00:58:37Z</dcterms:created>
  <dcterms:modified xsi:type="dcterms:W3CDTF">2026-05-25T08:14:25Z</dcterms:modified>
  <cp:category/>
  <cp:contentStatus/>
</cp:coreProperties>
</file>